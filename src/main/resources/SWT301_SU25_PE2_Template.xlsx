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48CE154A-B001-4FDC-B34D-C91994D73AFD}" xr6:coauthVersionLast="47" xr6:coauthVersionMax="47" xr10:uidLastSave="{00000000-0000-0000-0000-000000000000}"/>
  <bookViews>
    <workbookView xWindow="25695" yWindow="0" windowWidth="26010" windowHeight="20985" activeTab="2" xr2:uid="{00000000-000D-0000-FFFF-FFFF00000000}"/>
  </bookViews>
  <sheets>
    <sheet name="Q1" sheetId="2" r:id="rId1"/>
    <sheet name="Q2" sheetId="3" r:id="rId2"/>
    <sheet name="Q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4" l="1"/>
  <c r="D4" i="4"/>
  <c r="E3" i="4"/>
  <c r="D3" i="4"/>
  <c r="E2" i="4"/>
  <c r="D2" i="4"/>
  <c r="N6" i="3"/>
  <c r="M6" i="3"/>
  <c r="L6" i="3"/>
  <c r="C6" i="3"/>
  <c r="A6" i="3"/>
  <c r="F6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Input number line of code</t>
        </r>
      </text>
    </comment>
    <comment ref="A4" authorId="0" shapeId="0" xr:uid="{00000000-0006-0000-0100-000002000000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9" authorId="0" shapeId="0" xr:uid="{00000000-0006-0000-0100-000003000000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5" authorId="0" shapeId="0" xr:uid="{00000000-0006-0000-0200-000001000000}">
      <text>
        <r>
          <rPr>
            <b/>
            <sz val="8"/>
            <color indexed="8"/>
            <rFont val="Times New Roman"/>
            <family val="1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<sst xmlns="http://schemas.openxmlformats.org/spreadsheetml/2006/main" count="194" uniqueCount="126">
  <si>
    <t>Issue No</t>
  </si>
  <si>
    <t>Description</t>
  </si>
  <si>
    <t>Line</t>
  </si>
  <si>
    <t>Detail</t>
  </si>
  <si>
    <t>* Notes:</t>
  </si>
  <si>
    <t xml:space="preserve">Blue text is sample, needed to be deleted in the answer </t>
  </si>
  <si>
    <t>Function Code</t>
  </si>
  <si>
    <t>Function Name</t>
  </si>
  <si>
    <t>Created By</t>
  </si>
  <si>
    <t>Lê Văn Tám</t>
  </si>
  <si>
    <t>Executed By</t>
  </si>
  <si>
    <t>Lines  of code</t>
  </si>
  <si>
    <t>Lack of test cases</t>
  </si>
  <si>
    <t>Test requirement</t>
  </si>
  <si>
    <t>Passed</t>
  </si>
  <si>
    <t>Failed</t>
  </si>
  <si>
    <t>Untested</t>
  </si>
  <si>
    <t>N/A/B</t>
  </si>
  <si>
    <t>Total Test Cases</t>
  </si>
  <si>
    <t>UTCID01</t>
  </si>
  <si>
    <t>UTCID02</t>
  </si>
  <si>
    <t>UTCID03</t>
  </si>
  <si>
    <t>Condition</t>
  </si>
  <si>
    <t xml:space="preserve">Precondition </t>
  </si>
  <si>
    <t>N/A</t>
  </si>
  <si>
    <t>Input condition</t>
  </si>
  <si>
    <t>O</t>
  </si>
  <si>
    <t>null</t>
  </si>
  <si>
    <t>Confirm</t>
  </si>
  <si>
    <t>Return</t>
  </si>
  <si>
    <t>Exception</t>
  </si>
  <si>
    <t>Log message</t>
  </si>
  <si>
    <t>Result</t>
  </si>
  <si>
    <t>Type(N : Normal, A : Abnormal, B : Boundary)</t>
  </si>
  <si>
    <t>N</t>
  </si>
  <si>
    <t>Passed/Failed</t>
  </si>
  <si>
    <t>Executed Date</t>
  </si>
  <si>
    <t>Defect ID</t>
  </si>
  <si>
    <t>Don't edit the grey cell</t>
  </si>
  <si>
    <t>Test case</t>
  </si>
  <si>
    <t>Module Code</t>
  </si>
  <si>
    <t>Information Management</t>
  </si>
  <si>
    <t>Tester</t>
  </si>
  <si>
    <t>ID</t>
  </si>
  <si>
    <t>Test Case Description</t>
  </si>
  <si>
    <t>Pre -Condition</t>
  </si>
  <si>
    <t>Test Case Procedure</t>
  </si>
  <si>
    <t>Expected Output</t>
  </si>
  <si>
    <t>Test date
(dd/mm/yyyy)</t>
  </si>
  <si>
    <t>Note</t>
  </si>
  <si>
    <t>TC001</t>
  </si>
  <si>
    <t>Coding conventions</t>
  </si>
  <si>
    <t>Coding logic</t>
  </si>
  <si>
    <t xml:space="preserve"> - Tên Class phải là PascalCase 
 - Tên Biến phải là camelCase</t>
  </si>
  <si>
    <t>Coding standards</t>
  </si>
  <si>
    <t xml:space="preserve"> - Biến trong class thường là private
 - Thiếu try-catch để check dữ liệu đầu vào</t>
  </si>
  <si>
    <t xml:space="preserve"> - So sánh String thì sử dụng equals()
 - IndexOutOfBounds: Để ý `for` (ví dụ `I &lt;= rows` hay `i&lt; row`).
 - if-else: Câu if có else chưa?
 - Khai báo biến trong method những không gán giá trị.
 - Check bussines logic</t>
  </si>
  <si>
    <t>Loop index should start from 0 instead of 1</t>
  </si>
  <si>
    <t>Incorrect condition in the second loop</t>
  </si>
  <si>
    <t>Check matrix bounds before calling checkSubMatrix()</t>
  </si>
  <si>
    <t>Incorrect loop range for i and j in checkSubMatrix()</t>
  </si>
  <si>
    <t>Missing return statement in case of no match</t>
  </si>
  <si>
    <t>Using the wrong index for accessing submatrix elements</t>
  </si>
  <si>
    <t>In the first loop of isSubMatrix(), i should start from 0, as array indices are 0-based.</t>
  </si>
  <si>
    <t>The condition in the second loop j &lt;= cols should be j &lt; cols to avoid accessing out-of-bound indices.</t>
  </si>
  <si>
    <t>There should be a condition to check whether the submatrix can actually fit in the main matrix to avoid index errors.</t>
  </si>
  <si>
    <t>Loop should run from i = 0 to i &lt; subRows and j = 0 to j &lt; subCols (inclusive). Using &lt;= may cause out-of-bound access.</t>
  </si>
  <si>
    <t>If no match is found in checkSubMatrix(), the method should return false before reaching line 25.</t>
  </si>
  <si>
    <t>In the second loop of checkSubMatrix(), the indexing should be subMatrix[i][j], but the code uses matrix[i + startR][j + startC] incorrectly.</t>
  </si>
  <si>
    <t>UTCID04</t>
  </si>
  <si>
    <t>UTCID05</t>
  </si>
  <si>
    <t>calculateInsyranceFee</t>
  </si>
  <si>
    <t>age</t>
  </si>
  <si>
    <t>gender</t>
  </si>
  <si>
    <t>coverageAmount</t>
  </si>
  <si>
    <t>extraFee</t>
  </si>
  <si>
    <t>male</t>
  </si>
  <si>
    <t>female</t>
  </si>
  <si>
    <t>UTCID06</t>
  </si>
  <si>
    <t>UTCID07</t>
  </si>
  <si>
    <t>UTCID08</t>
  </si>
  <si>
    <t>invalid</t>
  </si>
  <si>
    <t>invalid input</t>
  </si>
  <si>
    <t>A</t>
  </si>
  <si>
    <t>This function calculates the insurance fee based on age, gender, coverage amount, and an additional fee. It checks the baseRate array to determine the rate based on age, and assigns a rate based on gender. The base fee is calculated by multiplying the coverage amount by the rate and then by 1,000,000. An extra fee is then added.</t>
  </si>
  <si>
    <t>This function calculates the &lt;...&gt; based on&lt;...&gt;. 
It checks the &lt;…&gt;. 
The &lt;...&gt; is calculated by &lt;…..&gt;.</t>
  </si>
  <si>
    <t>P</t>
  </si>
  <si>
    <t>TC002</t>
  </si>
  <si>
    <t>TC003</t>
  </si>
  <si>
    <t>TC004</t>
  </si>
  <si>
    <t>TC005</t>
  </si>
  <si>
    <t>TC006</t>
  </si>
  <si>
    <t>TC007</t>
  </si>
  <si>
    <t>TC008</t>
  </si>
  <si>
    <t>Test valid body shape calculation for Hourglass</t>
  </si>
  <si>
    <t>Test invalid Bust input (empty field)</t>
  </si>
  <si>
    <t>Test invalid Waist input (negative value)</t>
  </si>
  <si>
    <t>Test valid Bottom Hourglass calculation</t>
  </si>
  <si>
    <t>Test valid Spoon body shape calculation</t>
  </si>
  <si>
    <t>Test invalid input for non-numeric value (Waist)</t>
  </si>
  <si>
    <t>Test valid Top Hourglass calculation</t>
  </si>
  <si>
    <t>Test invalid Hip input (zero value)</t>
  </si>
  <si>
    <t>User leaves the "Bust" field empty</t>
  </si>
  <si>
    <t>User enters negative value for "Waist" field</t>
  </si>
  <si>
    <t>User enters valid values for Bottom Hourglass criteria</t>
  </si>
  <si>
    <t>User enters valid values for Spoon body shape</t>
  </si>
  <si>
    <t>User enters a non-numeric value for Waist</t>
  </si>
  <si>
    <t>User enters valid values for Top Hourglass criteria</t>
  </si>
  <si>
    <t>User enters zero value for Hip field</t>
  </si>
  <si>
    <t>User enters valid values for all fields</t>
  </si>
  <si>
    <t>1. Enter: 
Bust = 35.43, 
Waist = 23.6,
High Hip = 31.49, 
Hip = 35.43.
2. Click the "Calculate" button.</t>
  </si>
  <si>
    <t>The body shape result is "Hourglass" based on the following conditions:
- (Bust - Hips) ≤ 1 and
- (Hips - Bust) &lt; 3.6 and
- ((Bust - Waist) &gt; 9 or (Hips - Waist) ≥ 10)</t>
  </si>
  <si>
    <t>1. Leave the Bust field empty.
2. Enter valid values for Waist, High Hip, and Hip.
3. Click the "Calculate" button.</t>
  </si>
  <si>
    <t>1. Enter 
Bust = 35.43, 
Waist = -23.6, 
High Hip = 31.49, 
Hip = 35.43.
2. Click the "Calculate" button.</t>
  </si>
  <si>
    <t>1. Enter 
Bust = 35.43, 
Waist = 23.6, 
High Hip = 31.49, 
Hip = 36.5.
2. Click the "Calculate" button.</t>
  </si>
  <si>
    <t>1. Enter 
Bust = 40, 
Waist = 30, 
High Hip = 35, 
Hip = 45.
2. Click the "Calculate" button.</t>
  </si>
  <si>
    <t>1. Enter 
Bust = 35.43, 
Waist = "abc", 
High Hip = 31.49, 
Hip = 35.43.
2. Click the "Calculate" button.</t>
  </si>
  <si>
    <t>1. Enter 
Bust = 35.43, 
Waist = 23.6, 
High Hip = 31.49, 
Hip = 32.5.
2. Click the "Calculate" button.</t>
  </si>
  <si>
    <t>1. Enter 
Bust = 35.43, 
Waist = 23.6, 
High Hip = 31.49, 
Hip = 0.
2. Click the "Calculate" button.</t>
  </si>
  <si>
    <t>The system displays the error message: "Bust is required".</t>
  </si>
  <si>
    <t>The system displays the error message: "Waist must be a number greater than 0".</t>
  </si>
  <si>
    <t>The body shape result is "Bottom Hourglass" based on the following conditions:
- (Bust - Hips) ≤ 1 and
- (Hips - Bust) ≥ 3.6 and
- (Bust - Waist) &gt; 9 and
- (High Hip / Waist) &lt; 1.193</t>
  </si>
  <si>
    <t>The body shape result is "Spoon" based on the following conditions:
- (Hips - Bust) ≥ 2 and
- (Hips - Waist) ≥ 7 and
- (High Hip / Waist) ≥ 1.193</t>
  </si>
  <si>
    <t>The body shape result is "Top Hourglass" based on the following conditions:
- 1 &lt; (Bust - Hips) &lt; 10 and
- (Bust - Waist) ≥ 9</t>
  </si>
  <si>
    <t>The system displays the error message: "Hip must be a number greater than 0".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</si>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</sst>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3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ＭＳ Ｐゴシック"/>
      <family val="3"/>
      <charset val="128"/>
    </font>
    <font>
      <b/>
      <sz val="8"/>
      <name val="Tahoma"/>
      <family val="2"/>
    </font>
    <font>
      <b/>
      <sz val="8"/>
      <color rgb="FF0070C0"/>
      <name val="Tahoma"/>
      <family val="2"/>
    </font>
    <font>
      <i/>
      <sz val="8"/>
      <color theme="4"/>
      <name val="Tahoma"/>
      <family val="2"/>
    </font>
    <font>
      <sz val="8"/>
      <color theme="4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0"/>
      <color indexed="9"/>
      <name val="Tahoma"/>
      <family val="2"/>
    </font>
    <font>
      <sz val="8"/>
      <color indexed="9"/>
      <name val="Tahoma"/>
      <family val="2"/>
    </font>
    <font>
      <b/>
      <sz val="8"/>
      <color theme="1"/>
      <name val="Tahoma"/>
      <family val="2"/>
    </font>
    <font>
      <b/>
      <sz val="8"/>
      <color indexed="9"/>
      <name val="Tahoma"/>
      <family val="2"/>
    </font>
    <font>
      <b/>
      <sz val="12"/>
      <name val="Tahoma"/>
      <family val="2"/>
    </font>
    <font>
      <b/>
      <sz val="8"/>
      <color theme="4"/>
      <name val="Tahoma"/>
      <family val="2"/>
    </font>
    <font>
      <b/>
      <sz val="8"/>
      <color rgb="FFFF0000"/>
      <name val="Tahoma"/>
      <family val="2"/>
    </font>
    <font>
      <sz val="11"/>
      <name val="Tahoma"/>
      <family val="2"/>
    </font>
    <font>
      <sz val="8"/>
      <color indexed="17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indexed="81"/>
      <name val="Tahoma"/>
      <family val="2"/>
    </font>
    <font>
      <b/>
      <sz val="16"/>
      <name val="Tahoma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0"/>
      <color indexed="12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10"/>
      <color rgb="FF0070C0"/>
      <name val="Tahoma"/>
      <family val="2"/>
    </font>
    <font>
      <b/>
      <sz val="8"/>
      <color indexed="8"/>
      <name val="Times New Roman"/>
      <family val="1"/>
    </font>
    <font>
      <sz val="8"/>
      <name val="Calibri"/>
      <family val="2"/>
      <scheme val="minor"/>
    </font>
    <font>
      <sz val="8"/>
      <color theme="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32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24" fillId="0" borderId="0" applyNumberFormat="0" applyFill="0" applyBorder="0" applyAlignment="0" applyProtection="0"/>
  </cellStyleXfs>
  <cellXfs count="17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right" vertical="top"/>
    </xf>
    <xf numFmtId="0" fontId="4" fillId="0" borderId="0" xfId="1" applyFont="1"/>
    <xf numFmtId="0" fontId="5" fillId="0" borderId="0" xfId="1" applyFont="1"/>
    <xf numFmtId="0" fontId="8" fillId="0" borderId="0" xfId="1" applyFont="1"/>
    <xf numFmtId="0" fontId="8" fillId="0" borderId="0" xfId="1" applyFont="1" applyAlignment="1">
      <alignment horizontal="center"/>
    </xf>
    <xf numFmtId="0" fontId="9" fillId="4" borderId="12" xfId="2" applyFont="1" applyFill="1" applyBorder="1" applyAlignment="1">
      <alignment wrapText="1"/>
    </xf>
    <xf numFmtId="0" fontId="9" fillId="4" borderId="17" xfId="2" applyFont="1" applyFill="1" applyBorder="1" applyAlignment="1">
      <alignment wrapText="1"/>
    </xf>
    <xf numFmtId="0" fontId="9" fillId="4" borderId="19" xfId="2" applyFont="1" applyFill="1" applyBorder="1" applyAlignment="1">
      <alignment horizontal="left" wrapText="1"/>
    </xf>
    <xf numFmtId="0" fontId="8" fillId="3" borderId="31" xfId="1" applyFont="1" applyFill="1" applyBorder="1" applyAlignment="1">
      <alignment horizontal="center" vertical="center"/>
    </xf>
    <xf numFmtId="0" fontId="8" fillId="0" borderId="33" xfId="1" applyFont="1" applyBorder="1"/>
    <xf numFmtId="0" fontId="4" fillId="0" borderId="0" xfId="1" applyFont="1" applyAlignment="1">
      <alignment horizontal="left"/>
    </xf>
    <xf numFmtId="0" fontId="8" fillId="0" borderId="0" xfId="1" applyFont="1" applyAlignment="1">
      <alignment horizontal="right"/>
    </xf>
    <xf numFmtId="0" fontId="11" fillId="2" borderId="35" xfId="1" applyFont="1" applyFill="1" applyBorder="1"/>
    <xf numFmtId="0" fontId="12" fillId="2" borderId="36" xfId="1" applyFont="1" applyFill="1" applyBorder="1" applyAlignment="1">
      <alignment vertical="top" textRotation="180"/>
    </xf>
    <xf numFmtId="0" fontId="13" fillId="2" borderId="36" xfId="1" applyFont="1" applyFill="1" applyBorder="1" applyAlignment="1">
      <alignment vertical="top" textRotation="180"/>
    </xf>
    <xf numFmtId="0" fontId="13" fillId="2" borderId="37" xfId="1" applyFont="1" applyFill="1" applyBorder="1" applyAlignment="1">
      <alignment vertical="top" textRotation="180"/>
    </xf>
    <xf numFmtId="49" fontId="8" fillId="0" borderId="0" xfId="1" applyNumberFormat="1" applyFont="1" applyAlignment="1">
      <alignment horizontal="center"/>
    </xf>
    <xf numFmtId="0" fontId="12" fillId="2" borderId="38" xfId="1" applyFont="1" applyFill="1" applyBorder="1" applyAlignment="1">
      <alignment vertical="center"/>
    </xf>
    <xf numFmtId="0" fontId="4" fillId="6" borderId="39" xfId="1" applyFont="1" applyFill="1" applyBorder="1" applyAlignment="1">
      <alignment horizontal="left" vertical="top"/>
    </xf>
    <xf numFmtId="0" fontId="8" fillId="6" borderId="3" xfId="1" applyFont="1" applyFill="1" applyBorder="1" applyAlignment="1">
      <alignment horizontal="center" vertical="top"/>
    </xf>
    <xf numFmtId="0" fontId="8" fillId="6" borderId="5" xfId="1" applyFont="1" applyFill="1" applyBorder="1" applyAlignment="1">
      <alignment horizontal="right" vertical="top"/>
    </xf>
    <xf numFmtId="0" fontId="14" fillId="0" borderId="41" xfId="1" applyFont="1" applyBorder="1" applyAlignment="1">
      <alignment horizontal="center"/>
    </xf>
    <xf numFmtId="0" fontId="14" fillId="0" borderId="42" xfId="1" applyFont="1" applyBorder="1" applyAlignment="1">
      <alignment horizontal="center"/>
    </xf>
    <xf numFmtId="0" fontId="12" fillId="2" borderId="43" xfId="1" applyFont="1" applyFill="1" applyBorder="1" applyAlignment="1">
      <alignment vertical="center"/>
    </xf>
    <xf numFmtId="0" fontId="4" fillId="6" borderId="15" xfId="1" applyFont="1" applyFill="1" applyBorder="1" applyAlignment="1">
      <alignment horizontal="left" vertical="top"/>
    </xf>
    <xf numFmtId="0" fontId="8" fillId="6" borderId="15" xfId="1" applyFont="1" applyFill="1" applyBorder="1" applyAlignment="1">
      <alignment horizontal="center" vertical="top"/>
    </xf>
    <xf numFmtId="0" fontId="7" fillId="6" borderId="16" xfId="1" applyFont="1" applyFill="1" applyBorder="1" applyAlignment="1">
      <alignment horizontal="right" vertical="top"/>
    </xf>
    <xf numFmtId="0" fontId="14" fillId="0" borderId="1" xfId="1" applyFont="1" applyBorder="1" applyAlignment="1">
      <alignment horizontal="center"/>
    </xf>
    <xf numFmtId="0" fontId="14" fillId="0" borderId="45" xfId="1" applyFont="1" applyBorder="1" applyAlignment="1">
      <alignment horizontal="center"/>
    </xf>
    <xf numFmtId="0" fontId="7" fillId="0" borderId="44" xfId="1" applyFont="1" applyBorder="1" applyAlignment="1">
      <alignment vertical="top"/>
    </xf>
    <xf numFmtId="0" fontId="15" fillId="6" borderId="15" xfId="1" applyFont="1" applyFill="1" applyBorder="1" applyAlignment="1">
      <alignment horizontal="left" vertical="top"/>
    </xf>
    <xf numFmtId="0" fontId="16" fillId="0" borderId="0" xfId="1" applyFont="1" applyAlignment="1">
      <alignment horizontal="left"/>
    </xf>
    <xf numFmtId="0" fontId="4" fillId="0" borderId="0" xfId="1" applyFont="1" applyAlignment="1">
      <alignment horizontal="center"/>
    </xf>
    <xf numFmtId="0" fontId="7" fillId="0" borderId="46" xfId="1" applyFont="1" applyBorder="1" applyAlignment="1">
      <alignment horizontal="right"/>
    </xf>
    <xf numFmtId="0" fontId="7" fillId="6" borderId="46" xfId="1" applyFont="1" applyFill="1" applyBorder="1" applyAlignment="1">
      <alignment horizontal="right" vertical="top"/>
    </xf>
    <xf numFmtId="0" fontId="8" fillId="6" borderId="16" xfId="1" applyFont="1" applyFill="1" applyBorder="1" applyAlignment="1">
      <alignment horizontal="right" vertical="top"/>
    </xf>
    <xf numFmtId="0" fontId="4" fillId="6" borderId="47" xfId="1" applyFont="1" applyFill="1" applyBorder="1" applyAlignment="1">
      <alignment horizontal="left" vertical="top"/>
    </xf>
    <xf numFmtId="0" fontId="12" fillId="2" borderId="48" xfId="1" applyFont="1" applyFill="1" applyBorder="1" applyAlignment="1">
      <alignment vertical="center"/>
    </xf>
    <xf numFmtId="0" fontId="4" fillId="6" borderId="49" xfId="1" applyFont="1" applyFill="1" applyBorder="1" applyAlignment="1">
      <alignment horizontal="left" vertical="top"/>
    </xf>
    <xf numFmtId="0" fontId="8" fillId="6" borderId="50" xfId="1" applyFont="1" applyFill="1" applyBorder="1" applyAlignment="1">
      <alignment horizontal="center" vertical="top"/>
    </xf>
    <xf numFmtId="0" fontId="8" fillId="6" borderId="51" xfId="1" applyFont="1" applyFill="1" applyBorder="1" applyAlignment="1">
      <alignment horizontal="right" vertical="top"/>
    </xf>
    <xf numFmtId="0" fontId="14" fillId="0" borderId="52" xfId="1" applyFont="1" applyBorder="1" applyAlignment="1">
      <alignment horizontal="center"/>
    </xf>
    <xf numFmtId="0" fontId="14" fillId="0" borderId="53" xfId="1" applyFont="1" applyBorder="1" applyAlignment="1">
      <alignment horizontal="center"/>
    </xf>
    <xf numFmtId="0" fontId="12" fillId="2" borderId="38" xfId="1" applyFont="1" applyFill="1" applyBorder="1" applyAlignment="1">
      <alignment vertical="top"/>
    </xf>
    <xf numFmtId="0" fontId="4" fillId="6" borderId="54" xfId="1" applyFont="1" applyFill="1" applyBorder="1"/>
    <xf numFmtId="0" fontId="4" fillId="6" borderId="3" xfId="1" applyFont="1" applyFill="1" applyBorder="1"/>
    <xf numFmtId="0" fontId="8" fillId="6" borderId="5" xfId="1" applyFont="1" applyFill="1" applyBorder="1" applyAlignment="1">
      <alignment horizontal="right"/>
    </xf>
    <xf numFmtId="0" fontId="14" fillId="0" borderId="55" xfId="1" applyFont="1" applyBorder="1" applyAlignment="1">
      <alignment horizontal="center"/>
    </xf>
    <xf numFmtId="0" fontId="14" fillId="0" borderId="56" xfId="1" applyFont="1" applyBorder="1" applyAlignment="1">
      <alignment horizontal="center"/>
    </xf>
    <xf numFmtId="0" fontId="12" fillId="2" borderId="43" xfId="1" applyFont="1" applyFill="1" applyBorder="1" applyAlignment="1">
      <alignment vertical="top"/>
    </xf>
    <xf numFmtId="0" fontId="4" fillId="6" borderId="47" xfId="1" applyFont="1" applyFill="1" applyBorder="1"/>
    <xf numFmtId="0" fontId="8" fillId="6" borderId="15" xfId="1" applyFont="1" applyFill="1" applyBorder="1"/>
    <xf numFmtId="0" fontId="7" fillId="6" borderId="16" xfId="1" applyFont="1" applyFill="1" applyBorder="1" applyAlignment="1">
      <alignment horizontal="right"/>
    </xf>
    <xf numFmtId="0" fontId="17" fillId="6" borderId="15" xfId="1" applyFont="1" applyFill="1" applyBorder="1"/>
    <xf numFmtId="0" fontId="8" fillId="6" borderId="16" xfId="1" applyFont="1" applyFill="1" applyBorder="1" applyAlignment="1">
      <alignment horizontal="right"/>
    </xf>
    <xf numFmtId="0" fontId="12" fillId="2" borderId="48" xfId="1" applyFont="1" applyFill="1" applyBorder="1" applyAlignment="1">
      <alignment vertical="top"/>
    </xf>
    <xf numFmtId="0" fontId="4" fillId="6" borderId="57" xfId="1" applyFont="1" applyFill="1" applyBorder="1"/>
    <xf numFmtId="0" fontId="8" fillId="6" borderId="58" xfId="1" applyFont="1" applyFill="1" applyBorder="1"/>
    <xf numFmtId="0" fontId="7" fillId="6" borderId="59" xfId="1" applyFont="1" applyFill="1" applyBorder="1" applyAlignment="1">
      <alignment horizontal="right"/>
    </xf>
    <xf numFmtId="0" fontId="14" fillId="0" borderId="60" xfId="1" applyFont="1" applyBorder="1" applyAlignment="1">
      <alignment horizontal="center"/>
    </xf>
    <xf numFmtId="0" fontId="14" fillId="0" borderId="61" xfId="1" applyFont="1" applyBorder="1" applyAlignment="1">
      <alignment horizontal="center"/>
    </xf>
    <xf numFmtId="0" fontId="8" fillId="0" borderId="41" xfId="1" applyFont="1" applyBorder="1" applyAlignment="1">
      <alignment horizontal="left"/>
    </xf>
    <xf numFmtId="0" fontId="8" fillId="0" borderId="41" xfId="1" applyFont="1" applyBorder="1" applyAlignment="1">
      <alignment horizontal="center"/>
    </xf>
    <xf numFmtId="0" fontId="8" fillId="0" borderId="42" xfId="1" applyFont="1" applyBorder="1" applyAlignment="1">
      <alignment horizontal="center"/>
    </xf>
    <xf numFmtId="0" fontId="18" fillId="0" borderId="1" xfId="1" applyFont="1" applyBorder="1" applyAlignment="1">
      <alignment horizontal="left"/>
    </xf>
    <xf numFmtId="0" fontId="8" fillId="0" borderId="1" xfId="1" applyFont="1" applyBorder="1" applyAlignment="1">
      <alignment horizontal="center"/>
    </xf>
    <xf numFmtId="0" fontId="8" fillId="0" borderId="45" xfId="1" applyFont="1" applyBorder="1" applyAlignment="1">
      <alignment horizontal="center"/>
    </xf>
    <xf numFmtId="0" fontId="8" fillId="0" borderId="1" xfId="1" applyFont="1" applyBorder="1"/>
    <xf numFmtId="165" fontId="8" fillId="0" borderId="1" xfId="1" applyNumberFormat="1" applyFont="1" applyBorder="1" applyAlignment="1">
      <alignment vertical="top" textRotation="255"/>
    </xf>
    <xf numFmtId="165" fontId="8" fillId="0" borderId="45" xfId="1" applyNumberFormat="1" applyFont="1" applyBorder="1" applyAlignment="1">
      <alignment vertical="top" textRotation="255"/>
    </xf>
    <xf numFmtId="0" fontId="8" fillId="0" borderId="60" xfId="1" applyFont="1" applyBorder="1"/>
    <xf numFmtId="0" fontId="8" fillId="0" borderId="60" xfId="1" applyFont="1" applyBorder="1" applyAlignment="1">
      <alignment textRotation="255"/>
    </xf>
    <xf numFmtId="0" fontId="8" fillId="0" borderId="61" xfId="1" applyFont="1" applyBorder="1" applyAlignment="1">
      <alignment textRotation="255"/>
    </xf>
    <xf numFmtId="0" fontId="13" fillId="0" borderId="0" xfId="1" applyFont="1" applyAlignment="1">
      <alignment vertical="top"/>
    </xf>
    <xf numFmtId="0" fontId="8" fillId="2" borderId="0" xfId="1" applyFont="1" applyFill="1"/>
    <xf numFmtId="0" fontId="4" fillId="2" borderId="0" xfId="1" applyFont="1" applyFill="1" applyAlignment="1">
      <alignment horizontal="left"/>
    </xf>
    <xf numFmtId="0" fontId="8" fillId="0" borderId="0" xfId="0" applyFont="1"/>
    <xf numFmtId="0" fontId="23" fillId="0" borderId="0" xfId="0" applyFont="1"/>
    <xf numFmtId="0" fontId="25" fillId="0" borderId="62" xfId="3" applyFont="1" applyFill="1" applyBorder="1" applyAlignment="1">
      <alignment horizontal="left" vertical="top" wrapText="1"/>
    </xf>
    <xf numFmtId="0" fontId="26" fillId="0" borderId="62" xfId="0" applyFont="1" applyBorder="1" applyAlignment="1">
      <alignment horizontal="left" vertical="top" wrapText="1"/>
    </xf>
    <xf numFmtId="0" fontId="26" fillId="0" borderId="62" xfId="0" applyFont="1" applyBorder="1" applyAlignment="1">
      <alignment vertical="top" wrapText="1"/>
    </xf>
    <xf numFmtId="0" fontId="26" fillId="0" borderId="0" xfId="0" applyFont="1"/>
    <xf numFmtId="0" fontId="27" fillId="0" borderId="62" xfId="2" applyFont="1" applyBorder="1" applyAlignment="1">
      <alignment horizontal="left" vertical="top" wrapText="1"/>
    </xf>
    <xf numFmtId="0" fontId="28" fillId="0" borderId="63" xfId="2" applyFont="1" applyBorder="1" applyAlignment="1">
      <alignment horizontal="left" vertical="top" wrapText="1"/>
    </xf>
    <xf numFmtId="0" fontId="26" fillId="0" borderId="62" xfId="2" applyFont="1" applyBorder="1" applyAlignment="1">
      <alignment horizontal="left" vertical="top" wrapText="1"/>
    </xf>
    <xf numFmtId="0" fontId="27" fillId="0" borderId="63" xfId="2" applyFont="1" applyBorder="1" applyAlignment="1">
      <alignment horizontal="left" vertical="top" wrapText="1"/>
    </xf>
    <xf numFmtId="0" fontId="26" fillId="0" borderId="63" xfId="0" applyFont="1" applyBorder="1" applyAlignment="1">
      <alignment horizontal="left" vertical="top" wrapText="1"/>
    </xf>
    <xf numFmtId="2" fontId="26" fillId="0" borderId="63" xfId="0" applyNumberFormat="1" applyFont="1" applyBorder="1" applyAlignment="1">
      <alignment vertical="top" wrapText="1"/>
    </xf>
    <xf numFmtId="0" fontId="4" fillId="5" borderId="1" xfId="2" applyFont="1" applyFill="1" applyBorder="1" applyAlignment="1">
      <alignment horizontal="center" vertical="center" wrapText="1"/>
    </xf>
    <xf numFmtId="0" fontId="9" fillId="9" borderId="40" xfId="1" applyFont="1" applyFill="1" applyBorder="1" applyAlignment="1">
      <alignment horizontal="right"/>
    </xf>
    <xf numFmtId="0" fontId="6" fillId="9" borderId="44" xfId="1" applyFont="1" applyFill="1" applyBorder="1" applyAlignment="1">
      <alignment horizontal="right"/>
    </xf>
    <xf numFmtId="0" fontId="7" fillId="9" borderId="44" xfId="1" applyFont="1" applyFill="1" applyBorder="1" applyAlignment="1">
      <alignment horizontal="right"/>
    </xf>
    <xf numFmtId="0" fontId="8" fillId="9" borderId="44" xfId="1" applyFont="1" applyFill="1" applyBorder="1" applyAlignment="1">
      <alignment horizontal="right"/>
    </xf>
    <xf numFmtId="0" fontId="8" fillId="9" borderId="55" xfId="1" applyFont="1" applyFill="1" applyBorder="1" applyAlignment="1">
      <alignment horizontal="left"/>
    </xf>
    <xf numFmtId="0" fontId="8" fillId="9" borderId="1" xfId="1" applyFont="1" applyFill="1" applyBorder="1" applyAlignment="1">
      <alignment horizontal="left"/>
    </xf>
    <xf numFmtId="0" fontId="8" fillId="9" borderId="1" xfId="1" applyFont="1" applyFill="1" applyBorder="1"/>
    <xf numFmtId="0" fontId="8" fillId="9" borderId="60" xfId="1" applyFont="1" applyFill="1" applyBorder="1" applyAlignment="1">
      <alignment horizontal="left"/>
    </xf>
    <xf numFmtId="0" fontId="8" fillId="0" borderId="46" xfId="1" applyFont="1" applyBorder="1" applyAlignment="1">
      <alignment horizontal="left"/>
    </xf>
    <xf numFmtId="0" fontId="8" fillId="0" borderId="41" xfId="1" applyFont="1" applyBorder="1" applyAlignment="1">
      <alignment horizontal="left"/>
    </xf>
    <xf numFmtId="0" fontId="8" fillId="0" borderId="16" xfId="1" applyFont="1" applyBorder="1" applyAlignment="1">
      <alignment horizontal="left"/>
    </xf>
    <xf numFmtId="0" fontId="8" fillId="0" borderId="1" xfId="1" applyFont="1" applyBorder="1" applyAlignment="1">
      <alignment horizontal="left"/>
    </xf>
    <xf numFmtId="0" fontId="8" fillId="0" borderId="16" xfId="1" applyFont="1" applyBorder="1" applyAlignment="1">
      <alignment horizontal="left" vertical="top"/>
    </xf>
    <xf numFmtId="0" fontId="8" fillId="0" borderId="1" xfId="1" applyFont="1" applyBorder="1" applyAlignment="1">
      <alignment horizontal="left" vertical="top"/>
    </xf>
    <xf numFmtId="0" fontId="8" fillId="0" borderId="59" xfId="1" applyFont="1" applyBorder="1" applyAlignment="1">
      <alignment horizontal="left" vertical="top"/>
    </xf>
    <xf numFmtId="0" fontId="8" fillId="0" borderId="60" xfId="1" applyFont="1" applyBorder="1" applyAlignment="1">
      <alignment horizontal="left" vertical="top"/>
    </xf>
    <xf numFmtId="164" fontId="10" fillId="5" borderId="34" xfId="1" applyNumberFormat="1" applyFont="1" applyFill="1" applyBorder="1" applyAlignment="1">
      <alignment horizontal="center" vertical="center"/>
    </xf>
    <xf numFmtId="164" fontId="10" fillId="5" borderId="35" xfId="1" applyNumberFormat="1" applyFont="1" applyFill="1" applyBorder="1" applyAlignment="1">
      <alignment horizontal="center" vertical="center"/>
    </xf>
    <xf numFmtId="0" fontId="7" fillId="0" borderId="39" xfId="1" applyFont="1" applyBorder="1" applyAlignment="1">
      <alignment horizontal="right"/>
    </xf>
    <xf numFmtId="0" fontId="7" fillId="0" borderId="46" xfId="1" applyFont="1" applyBorder="1" applyAlignment="1">
      <alignment horizontal="right"/>
    </xf>
    <xf numFmtId="0" fontId="7" fillId="0" borderId="15" xfId="1" applyFont="1" applyBorder="1" applyAlignment="1">
      <alignment horizontal="right"/>
    </xf>
    <xf numFmtId="0" fontId="7" fillId="0" borderId="16" xfId="1" applyFont="1" applyBorder="1" applyAlignment="1">
      <alignment horizontal="right"/>
    </xf>
    <xf numFmtId="0" fontId="7" fillId="0" borderId="0" xfId="1" applyFont="1" applyAlignment="1">
      <alignment horizontal="right"/>
    </xf>
    <xf numFmtId="0" fontId="7" fillId="0" borderId="44" xfId="1" applyFont="1" applyBorder="1" applyAlignment="1">
      <alignment horizontal="right"/>
    </xf>
    <xf numFmtId="0" fontId="4" fillId="3" borderId="9" xfId="1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/>
    </xf>
    <xf numFmtId="0" fontId="4" fillId="3" borderId="18" xfId="1" applyFont="1" applyFill="1" applyBorder="1" applyAlignment="1">
      <alignment horizontal="center" vertical="center" wrapText="1"/>
    </xf>
    <xf numFmtId="0" fontId="4" fillId="3" borderId="19" xfId="1" applyFont="1" applyFill="1" applyBorder="1" applyAlignment="1">
      <alignment horizontal="center" vertical="center" wrapText="1"/>
    </xf>
    <xf numFmtId="0" fontId="4" fillId="3" borderId="10" xfId="1" applyFont="1" applyFill="1" applyBorder="1" applyAlignment="1">
      <alignment horizontal="center" vertical="center" wrapText="1"/>
    </xf>
    <xf numFmtId="0" fontId="4" fillId="3" borderId="24" xfId="1" applyFont="1" applyFill="1" applyBorder="1" applyAlignment="1">
      <alignment horizontal="center" vertical="center" wrapText="1"/>
    </xf>
    <xf numFmtId="0" fontId="4" fillId="3" borderId="20" xfId="1" applyFont="1" applyFill="1" applyBorder="1" applyAlignment="1">
      <alignment horizontal="center" vertical="center" wrapText="1"/>
    </xf>
    <xf numFmtId="0" fontId="4" fillId="3" borderId="25" xfId="1" applyFont="1" applyFill="1" applyBorder="1" applyAlignment="1">
      <alignment horizontal="center" vertical="center" wrapText="1"/>
    </xf>
    <xf numFmtId="0" fontId="8" fillId="3" borderId="26" xfId="1" applyFont="1" applyFill="1" applyBorder="1" applyAlignment="1">
      <alignment horizontal="center" vertical="center"/>
    </xf>
    <xf numFmtId="0" fontId="8" fillId="3" borderId="27" xfId="1" applyFont="1" applyFill="1" applyBorder="1" applyAlignment="1">
      <alignment horizontal="center" vertical="center"/>
    </xf>
    <xf numFmtId="0" fontId="8" fillId="3" borderId="28" xfId="1" applyFont="1" applyFill="1" applyBorder="1" applyAlignment="1">
      <alignment horizontal="center" vertical="center"/>
    </xf>
    <xf numFmtId="0" fontId="8" fillId="3" borderId="29" xfId="1" applyFont="1" applyFill="1" applyBorder="1" applyAlignment="1">
      <alignment horizontal="center" vertical="center"/>
    </xf>
    <xf numFmtId="0" fontId="8" fillId="3" borderId="30" xfId="1" applyFont="1" applyFill="1" applyBorder="1" applyAlignment="1">
      <alignment horizontal="center" vertical="center"/>
    </xf>
    <xf numFmtId="0" fontId="8" fillId="3" borderId="31" xfId="1" applyFont="1" applyFill="1" applyBorder="1" applyAlignment="1">
      <alignment horizontal="center" vertical="center"/>
    </xf>
    <xf numFmtId="0" fontId="8" fillId="3" borderId="32" xfId="1" applyFont="1" applyFill="1" applyBorder="1" applyAlignment="1">
      <alignment horizontal="center" vertical="center"/>
    </xf>
    <xf numFmtId="0" fontId="4" fillId="3" borderId="9" xfId="2" applyFont="1" applyFill="1" applyBorder="1" applyAlignment="1">
      <alignment horizontal="left" wrapText="1"/>
    </xf>
    <xf numFmtId="0" fontId="4" fillId="3" borderId="10" xfId="2" applyFont="1" applyFill="1" applyBorder="1" applyAlignment="1">
      <alignment horizontal="left" wrapText="1"/>
    </xf>
    <xf numFmtId="0" fontId="6" fillId="4" borderId="18" xfId="2" applyFont="1" applyFill="1" applyBorder="1" applyAlignment="1">
      <alignment horizontal="center" wrapText="1"/>
    </xf>
    <xf numFmtId="0" fontId="6" fillId="4" borderId="19" xfId="2" applyFont="1" applyFill="1" applyBorder="1" applyAlignment="1">
      <alignment horizontal="center" wrapText="1"/>
    </xf>
    <xf numFmtId="0" fontId="4" fillId="3" borderId="14" xfId="2" applyFont="1" applyFill="1" applyBorder="1" applyAlignment="1">
      <alignment horizontal="left" wrapText="1"/>
    </xf>
    <xf numFmtId="0" fontId="4" fillId="3" borderId="15" xfId="2" applyFont="1" applyFill="1" applyBorder="1" applyAlignment="1">
      <alignment horizontal="left" wrapText="1"/>
    </xf>
    <xf numFmtId="0" fontId="4" fillId="3" borderId="16" xfId="2" applyFont="1" applyFill="1" applyBorder="1" applyAlignment="1">
      <alignment horizontal="left" wrapText="1"/>
    </xf>
    <xf numFmtId="0" fontId="8" fillId="3" borderId="20" xfId="2" applyFont="1" applyFill="1" applyBorder="1" applyAlignment="1">
      <alignment horizontal="center" wrapText="1"/>
    </xf>
    <xf numFmtId="0" fontId="8" fillId="3" borderId="19" xfId="2" applyFont="1" applyFill="1" applyBorder="1" applyAlignment="1">
      <alignment horizontal="center" wrapText="1"/>
    </xf>
    <xf numFmtId="0" fontId="8" fillId="3" borderId="21" xfId="2" applyFont="1" applyFill="1" applyBorder="1" applyAlignment="1">
      <alignment horizontal="center" wrapText="1"/>
    </xf>
    <xf numFmtId="0" fontId="6" fillId="4" borderId="22" xfId="2" applyFont="1" applyFill="1" applyBorder="1" applyAlignment="1">
      <alignment horizontal="left" wrapText="1"/>
    </xf>
    <xf numFmtId="0" fontId="6" fillId="4" borderId="23" xfId="2" applyFont="1" applyFill="1" applyBorder="1" applyAlignment="1">
      <alignment horizontal="left" wrapText="1"/>
    </xf>
    <xf numFmtId="0" fontId="4" fillId="3" borderId="2" xfId="2" applyFont="1" applyFill="1" applyBorder="1" applyAlignment="1">
      <alignment horizontal="left" wrapText="1"/>
    </xf>
    <xf numFmtId="0" fontId="4" fillId="3" borderId="3" xfId="2" applyFont="1" applyFill="1" applyBorder="1" applyAlignment="1">
      <alignment horizontal="left" wrapText="1"/>
    </xf>
    <xf numFmtId="49" fontId="6" fillId="4" borderId="4" xfId="2" applyNumberFormat="1" applyFont="1" applyFill="1" applyBorder="1" applyAlignment="1">
      <alignment horizontal="left" wrapText="1"/>
    </xf>
    <xf numFmtId="0" fontId="6" fillId="4" borderId="3" xfId="2" applyFont="1" applyFill="1" applyBorder="1" applyAlignment="1">
      <alignment horizontal="left" wrapText="1"/>
    </xf>
    <xf numFmtId="0" fontId="6" fillId="4" borderId="5" xfId="2" applyFont="1" applyFill="1" applyBorder="1" applyAlignment="1">
      <alignment horizontal="left" wrapText="1"/>
    </xf>
    <xf numFmtId="0" fontId="4" fillId="3" borderId="6" xfId="2" applyFont="1" applyFill="1" applyBorder="1" applyAlignment="1">
      <alignment horizontal="left" wrapText="1"/>
    </xf>
    <xf numFmtId="0" fontId="4" fillId="3" borderId="7" xfId="2" applyFont="1" applyFill="1" applyBorder="1" applyAlignment="1">
      <alignment horizontal="left" wrapText="1"/>
    </xf>
    <xf numFmtId="49" fontId="7" fillId="4" borderId="4" xfId="2" applyNumberFormat="1" applyFont="1" applyFill="1" applyBorder="1" applyAlignment="1">
      <alignment horizontal="center" wrapText="1"/>
    </xf>
    <xf numFmtId="0" fontId="7" fillId="4" borderId="3" xfId="2" applyFont="1" applyFill="1" applyBorder="1" applyAlignment="1">
      <alignment horizontal="center" wrapText="1"/>
    </xf>
    <xf numFmtId="0" fontId="7" fillId="4" borderId="8" xfId="2" applyFont="1" applyFill="1" applyBorder="1" applyAlignment="1">
      <alignment horizontal="center" wrapText="1"/>
    </xf>
    <xf numFmtId="0" fontId="6" fillId="4" borderId="11" xfId="2" applyFont="1" applyFill="1" applyBorder="1" applyAlignment="1">
      <alignment horizontal="left" wrapText="1"/>
    </xf>
    <xf numFmtId="0" fontId="6" fillId="4" borderId="12" xfId="2" applyFont="1" applyFill="1" applyBorder="1" applyAlignment="1">
      <alignment horizontal="left" wrapText="1"/>
    </xf>
    <xf numFmtId="0" fontId="6" fillId="4" borderId="13" xfId="2" applyFont="1" applyFill="1" applyBorder="1" applyAlignment="1">
      <alignment horizontal="left" wrapText="1"/>
    </xf>
    <xf numFmtId="0" fontId="9" fillId="4" borderId="12" xfId="2" applyFont="1" applyFill="1" applyBorder="1" applyAlignment="1">
      <alignment horizontal="left" wrapText="1"/>
    </xf>
    <xf numFmtId="0" fontId="22" fillId="0" borderId="0" xfId="2" applyFont="1" applyAlignment="1">
      <alignment horizontal="center" vertical="top" wrapText="1"/>
    </xf>
    <xf numFmtId="0" fontId="1" fillId="0" borderId="1" xfId="0" applyFont="1" applyBorder="1" applyAlignment="1">
      <alignment vertical="center"/>
    </xf>
    <xf numFmtId="0" fontId="0" fillId="0" borderId="1" xfId="0" quotePrefix="1" applyBorder="1" applyAlignment="1">
      <alignment vertical="top" wrapText="1"/>
    </xf>
    <xf numFmtId="0" fontId="7" fillId="6" borderId="51" xfId="1" applyFont="1" applyFill="1" applyBorder="1" applyAlignment="1">
      <alignment horizontal="right"/>
    </xf>
    <xf numFmtId="0" fontId="7" fillId="6" borderId="46" xfId="1" applyFont="1" applyFill="1" applyBorder="1" applyAlignment="1">
      <alignment horizontal="right"/>
    </xf>
    <xf numFmtId="0" fontId="7" fillId="6" borderId="39" xfId="1" applyFont="1" applyFill="1" applyBorder="1" applyAlignment="1">
      <alignment horizontal="right" vertical="top"/>
    </xf>
    <xf numFmtId="0" fontId="4" fillId="6" borderId="64" xfId="1" applyFont="1" applyFill="1" applyBorder="1"/>
    <xf numFmtId="0" fontId="4" fillId="6" borderId="39" xfId="1" applyFont="1" applyFill="1" applyBorder="1"/>
    <xf numFmtId="0" fontId="8" fillId="9" borderId="41" xfId="1" applyFont="1" applyFill="1" applyBorder="1" applyAlignment="1">
      <alignment horizontal="left"/>
    </xf>
    <xf numFmtId="0" fontId="6" fillId="4" borderId="0" xfId="2" applyFont="1" applyFill="1" applyBorder="1" applyAlignment="1">
      <alignment horizontal="left" vertical="top" wrapText="1"/>
    </xf>
    <xf numFmtId="0" fontId="31" fillId="8" borderId="1" xfId="0" applyFont="1" applyFill="1" applyBorder="1" applyAlignment="1">
      <alignment horizontal="left" vertical="top"/>
    </xf>
    <xf numFmtId="0" fontId="31" fillId="8" borderId="1" xfId="0" applyFont="1" applyFill="1" applyBorder="1" applyAlignment="1">
      <alignment horizontal="left" vertical="top" wrapText="1"/>
    </xf>
    <xf numFmtId="0" fontId="31" fillId="7" borderId="1" xfId="2" applyFont="1" applyFill="1" applyBorder="1" applyAlignment="1">
      <alignment horizontal="left" vertical="top" wrapText="1"/>
    </xf>
    <xf numFmtId="16" fontId="31" fillId="8" borderId="1" xfId="0" applyNumberFormat="1" applyFont="1" applyFill="1" applyBorder="1" applyAlignment="1">
      <alignment horizontal="left" vertical="top"/>
    </xf>
    <xf numFmtId="16" fontId="31" fillId="8" borderId="1" xfId="0" applyNumberFormat="1" applyFont="1" applyFill="1" applyBorder="1" applyAlignment="1">
      <alignment horizontal="right" vertical="top"/>
    </xf>
    <xf numFmtId="0" fontId="31" fillId="8" borderId="1" xfId="0" applyFont="1" applyFill="1" applyBorder="1" applyAlignment="1">
      <alignment vertical="top" wrapText="1"/>
    </xf>
    <xf numFmtId="16" fontId="31" fillId="8" borderId="1" xfId="0" applyNumberFormat="1" applyFont="1" applyFill="1" applyBorder="1" applyAlignment="1">
      <alignment vertical="top"/>
    </xf>
  </cellXfs>
  <cellStyles count="4">
    <cellStyle name="Hyperlink" xfId="3" builtinId="8"/>
    <cellStyle name="Normal" xfId="0" builtinId="0"/>
    <cellStyle name="Normal_Sheet1" xfId="2" xr:uid="{00000000-0005-0000-0000-000002000000}"/>
    <cellStyle name="Normal_Template_UnitTest Case_v0.9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activeCell="D12" sqref="D12"/>
    </sheetView>
  </sheetViews>
  <sheetFormatPr defaultRowHeight="15"/>
  <cols>
    <col min="1" max="1" width="8.5703125" bestFit="1" customWidth="1"/>
    <col min="2" max="2" width="52" bestFit="1" customWidth="1"/>
    <col min="3" max="3" width="4.7109375" bestFit="1" customWidth="1"/>
    <col min="4" max="4" width="106.28515625" bestFit="1" customWidth="1"/>
    <col min="6" max="6" width="18.7109375" bestFit="1" customWidth="1"/>
    <col min="7" max="7" width="41.140625" customWidth="1"/>
    <col min="9" max="9" width="18.7109375" bestFit="1" customWidth="1"/>
    <col min="10" max="10" width="36.28515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2">
        <v>1</v>
      </c>
      <c r="B2" s="3" t="s">
        <v>57</v>
      </c>
      <c r="C2" s="4">
        <v>7</v>
      </c>
      <c r="D2" s="5" t="s">
        <v>63</v>
      </c>
    </row>
    <row r="3" spans="1:7">
      <c r="A3" s="2">
        <v>2</v>
      </c>
      <c r="B3" s="3" t="s">
        <v>58</v>
      </c>
      <c r="C3" s="4">
        <v>9</v>
      </c>
      <c r="D3" s="5" t="s">
        <v>64</v>
      </c>
    </row>
    <row r="4" spans="1:7">
      <c r="A4" s="2">
        <v>3</v>
      </c>
      <c r="B4" s="3" t="s">
        <v>59</v>
      </c>
      <c r="C4" s="4">
        <v>8</v>
      </c>
      <c r="D4" s="5" t="s">
        <v>65</v>
      </c>
    </row>
    <row r="5" spans="1:7">
      <c r="A5" s="2">
        <v>4</v>
      </c>
      <c r="B5" s="5" t="s">
        <v>60</v>
      </c>
      <c r="C5" s="6">
        <v>19</v>
      </c>
      <c r="D5" s="5" t="s">
        <v>66</v>
      </c>
    </row>
    <row r="6" spans="1:7" ht="30">
      <c r="A6" s="2">
        <v>5</v>
      </c>
      <c r="B6" s="5" t="s">
        <v>61</v>
      </c>
      <c r="C6" s="6">
        <v>24</v>
      </c>
      <c r="D6" s="3" t="s">
        <v>67</v>
      </c>
    </row>
    <row r="7" spans="1:7" ht="30">
      <c r="A7" s="2">
        <v>6</v>
      </c>
      <c r="B7" s="5" t="s">
        <v>62</v>
      </c>
      <c r="C7" s="6">
        <v>22</v>
      </c>
      <c r="D7" s="3" t="s">
        <v>68</v>
      </c>
    </row>
    <row r="9" spans="1:7">
      <c r="A9" s="7" t="s">
        <v>4</v>
      </c>
      <c r="B9" s="8" t="s">
        <v>5</v>
      </c>
      <c r="C9" s="8"/>
    </row>
    <row r="11" spans="1:7" ht="30">
      <c r="F11" s="161" t="s">
        <v>51</v>
      </c>
      <c r="G11" s="162" t="s">
        <v>53</v>
      </c>
    </row>
    <row r="12" spans="1:7" ht="105">
      <c r="F12" s="161" t="s">
        <v>52</v>
      </c>
      <c r="G12" s="162" t="s">
        <v>56</v>
      </c>
    </row>
    <row r="13" spans="1:7" ht="30">
      <c r="F13" s="161" t="s">
        <v>54</v>
      </c>
      <c r="G13" s="162" t="s">
        <v>55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52"/>
  <sheetViews>
    <sheetView workbookViewId="0">
      <selection activeCell="V3" sqref="V3"/>
    </sheetView>
  </sheetViews>
  <sheetFormatPr defaultColWidth="9" defaultRowHeight="10.5"/>
  <cols>
    <col min="1" max="1" width="8.140625" style="9" customWidth="1"/>
    <col min="2" max="2" width="13.28515625" style="16" customWidth="1"/>
    <col min="3" max="3" width="10.7109375" style="9" customWidth="1"/>
    <col min="4" max="4" width="11.28515625" style="17" customWidth="1"/>
    <col min="5" max="5" width="1.7109375" style="9" hidden="1" customWidth="1"/>
    <col min="6" max="7" width="2.85546875" style="9" bestFit="1" customWidth="1"/>
    <col min="8" max="8" width="2.85546875" style="9" customWidth="1"/>
    <col min="9" max="10" width="2.85546875" style="9" bestFit="1" customWidth="1"/>
    <col min="11" max="19" width="2.85546875" style="9" customWidth="1"/>
    <col min="20" max="20" width="2.85546875" style="9" bestFit="1" customWidth="1"/>
    <col min="21" max="21" width="2.85546875" style="9" customWidth="1"/>
    <col min="22" max="22" width="9" style="10"/>
    <col min="23" max="23" width="24.28515625" style="9" bestFit="1" customWidth="1"/>
    <col min="24" max="24" width="9" style="9"/>
    <col min="25" max="25" width="20" style="9" bestFit="1" customWidth="1"/>
    <col min="26" max="26" width="5.5703125" style="9" bestFit="1" customWidth="1"/>
    <col min="27" max="256" width="9" style="9"/>
    <col min="257" max="257" width="8.140625" style="9" customWidth="1"/>
    <col min="258" max="258" width="13.28515625" style="9" customWidth="1"/>
    <col min="259" max="259" width="10.7109375" style="9" customWidth="1"/>
    <col min="260" max="260" width="11.28515625" style="9" customWidth="1"/>
    <col min="261" max="261" width="0" style="9" hidden="1" customWidth="1"/>
    <col min="262" max="263" width="2.85546875" style="9" bestFit="1" customWidth="1"/>
    <col min="264" max="264" width="2.85546875" style="9" customWidth="1"/>
    <col min="265" max="266" width="2.85546875" style="9" bestFit="1" customWidth="1"/>
    <col min="267" max="275" width="2.85546875" style="9" customWidth="1"/>
    <col min="276" max="276" width="2.85546875" style="9" bestFit="1" customWidth="1"/>
    <col min="277" max="277" width="2.85546875" style="9" customWidth="1"/>
    <col min="278" max="512" width="9" style="9"/>
    <col min="513" max="513" width="8.140625" style="9" customWidth="1"/>
    <col min="514" max="514" width="13.28515625" style="9" customWidth="1"/>
    <col min="515" max="515" width="10.7109375" style="9" customWidth="1"/>
    <col min="516" max="516" width="11.28515625" style="9" customWidth="1"/>
    <col min="517" max="517" width="0" style="9" hidden="1" customWidth="1"/>
    <col min="518" max="519" width="2.85546875" style="9" bestFit="1" customWidth="1"/>
    <col min="520" max="520" width="2.85546875" style="9" customWidth="1"/>
    <col min="521" max="522" width="2.85546875" style="9" bestFit="1" customWidth="1"/>
    <col min="523" max="531" width="2.85546875" style="9" customWidth="1"/>
    <col min="532" max="532" width="2.85546875" style="9" bestFit="1" customWidth="1"/>
    <col min="533" max="533" width="2.85546875" style="9" customWidth="1"/>
    <col min="534" max="768" width="9" style="9"/>
    <col min="769" max="769" width="8.140625" style="9" customWidth="1"/>
    <col min="770" max="770" width="13.28515625" style="9" customWidth="1"/>
    <col min="771" max="771" width="10.7109375" style="9" customWidth="1"/>
    <col min="772" max="772" width="11.28515625" style="9" customWidth="1"/>
    <col min="773" max="773" width="0" style="9" hidden="1" customWidth="1"/>
    <col min="774" max="775" width="2.85546875" style="9" bestFit="1" customWidth="1"/>
    <col min="776" max="776" width="2.85546875" style="9" customWidth="1"/>
    <col min="777" max="778" width="2.85546875" style="9" bestFit="1" customWidth="1"/>
    <col min="779" max="787" width="2.85546875" style="9" customWidth="1"/>
    <col min="788" max="788" width="2.85546875" style="9" bestFit="1" customWidth="1"/>
    <col min="789" max="789" width="2.85546875" style="9" customWidth="1"/>
    <col min="790" max="1024" width="9" style="9"/>
    <col min="1025" max="1025" width="8.140625" style="9" customWidth="1"/>
    <col min="1026" max="1026" width="13.28515625" style="9" customWidth="1"/>
    <col min="1027" max="1027" width="10.7109375" style="9" customWidth="1"/>
    <col min="1028" max="1028" width="11.28515625" style="9" customWidth="1"/>
    <col min="1029" max="1029" width="0" style="9" hidden="1" customWidth="1"/>
    <col min="1030" max="1031" width="2.85546875" style="9" bestFit="1" customWidth="1"/>
    <col min="1032" max="1032" width="2.85546875" style="9" customWidth="1"/>
    <col min="1033" max="1034" width="2.85546875" style="9" bestFit="1" customWidth="1"/>
    <col min="1035" max="1043" width="2.85546875" style="9" customWidth="1"/>
    <col min="1044" max="1044" width="2.85546875" style="9" bestFit="1" customWidth="1"/>
    <col min="1045" max="1045" width="2.85546875" style="9" customWidth="1"/>
    <col min="1046" max="1280" width="9" style="9"/>
    <col min="1281" max="1281" width="8.140625" style="9" customWidth="1"/>
    <col min="1282" max="1282" width="13.28515625" style="9" customWidth="1"/>
    <col min="1283" max="1283" width="10.7109375" style="9" customWidth="1"/>
    <col min="1284" max="1284" width="11.28515625" style="9" customWidth="1"/>
    <col min="1285" max="1285" width="0" style="9" hidden="1" customWidth="1"/>
    <col min="1286" max="1287" width="2.85546875" style="9" bestFit="1" customWidth="1"/>
    <col min="1288" max="1288" width="2.85546875" style="9" customWidth="1"/>
    <col min="1289" max="1290" width="2.85546875" style="9" bestFit="1" customWidth="1"/>
    <col min="1291" max="1299" width="2.85546875" style="9" customWidth="1"/>
    <col min="1300" max="1300" width="2.85546875" style="9" bestFit="1" customWidth="1"/>
    <col min="1301" max="1301" width="2.85546875" style="9" customWidth="1"/>
    <col min="1302" max="1536" width="9" style="9"/>
    <col min="1537" max="1537" width="8.140625" style="9" customWidth="1"/>
    <col min="1538" max="1538" width="13.28515625" style="9" customWidth="1"/>
    <col min="1539" max="1539" width="10.7109375" style="9" customWidth="1"/>
    <col min="1540" max="1540" width="11.28515625" style="9" customWidth="1"/>
    <col min="1541" max="1541" width="0" style="9" hidden="1" customWidth="1"/>
    <col min="1542" max="1543" width="2.85546875" style="9" bestFit="1" customWidth="1"/>
    <col min="1544" max="1544" width="2.85546875" style="9" customWidth="1"/>
    <col min="1545" max="1546" width="2.85546875" style="9" bestFit="1" customWidth="1"/>
    <col min="1547" max="1555" width="2.85546875" style="9" customWidth="1"/>
    <col min="1556" max="1556" width="2.85546875" style="9" bestFit="1" customWidth="1"/>
    <col min="1557" max="1557" width="2.85546875" style="9" customWidth="1"/>
    <col min="1558" max="1792" width="9" style="9"/>
    <col min="1793" max="1793" width="8.140625" style="9" customWidth="1"/>
    <col min="1794" max="1794" width="13.28515625" style="9" customWidth="1"/>
    <col min="1795" max="1795" width="10.7109375" style="9" customWidth="1"/>
    <col min="1796" max="1796" width="11.28515625" style="9" customWidth="1"/>
    <col min="1797" max="1797" width="0" style="9" hidden="1" customWidth="1"/>
    <col min="1798" max="1799" width="2.85546875" style="9" bestFit="1" customWidth="1"/>
    <col min="1800" max="1800" width="2.85546875" style="9" customWidth="1"/>
    <col min="1801" max="1802" width="2.85546875" style="9" bestFit="1" customWidth="1"/>
    <col min="1803" max="1811" width="2.85546875" style="9" customWidth="1"/>
    <col min="1812" max="1812" width="2.85546875" style="9" bestFit="1" customWidth="1"/>
    <col min="1813" max="1813" width="2.85546875" style="9" customWidth="1"/>
    <col min="1814" max="2048" width="9" style="9"/>
    <col min="2049" max="2049" width="8.140625" style="9" customWidth="1"/>
    <col min="2050" max="2050" width="13.28515625" style="9" customWidth="1"/>
    <col min="2051" max="2051" width="10.7109375" style="9" customWidth="1"/>
    <col min="2052" max="2052" width="11.28515625" style="9" customWidth="1"/>
    <col min="2053" max="2053" width="0" style="9" hidden="1" customWidth="1"/>
    <col min="2054" max="2055" width="2.85546875" style="9" bestFit="1" customWidth="1"/>
    <col min="2056" max="2056" width="2.85546875" style="9" customWidth="1"/>
    <col min="2057" max="2058" width="2.85546875" style="9" bestFit="1" customWidth="1"/>
    <col min="2059" max="2067" width="2.85546875" style="9" customWidth="1"/>
    <col min="2068" max="2068" width="2.85546875" style="9" bestFit="1" customWidth="1"/>
    <col min="2069" max="2069" width="2.85546875" style="9" customWidth="1"/>
    <col min="2070" max="2304" width="9" style="9"/>
    <col min="2305" max="2305" width="8.140625" style="9" customWidth="1"/>
    <col min="2306" max="2306" width="13.28515625" style="9" customWidth="1"/>
    <col min="2307" max="2307" width="10.7109375" style="9" customWidth="1"/>
    <col min="2308" max="2308" width="11.28515625" style="9" customWidth="1"/>
    <col min="2309" max="2309" width="0" style="9" hidden="1" customWidth="1"/>
    <col min="2310" max="2311" width="2.85546875" style="9" bestFit="1" customWidth="1"/>
    <col min="2312" max="2312" width="2.85546875" style="9" customWidth="1"/>
    <col min="2313" max="2314" width="2.85546875" style="9" bestFit="1" customWidth="1"/>
    <col min="2315" max="2323" width="2.85546875" style="9" customWidth="1"/>
    <col min="2324" max="2324" width="2.85546875" style="9" bestFit="1" customWidth="1"/>
    <col min="2325" max="2325" width="2.85546875" style="9" customWidth="1"/>
    <col min="2326" max="2560" width="9" style="9"/>
    <col min="2561" max="2561" width="8.140625" style="9" customWidth="1"/>
    <col min="2562" max="2562" width="13.28515625" style="9" customWidth="1"/>
    <col min="2563" max="2563" width="10.7109375" style="9" customWidth="1"/>
    <col min="2564" max="2564" width="11.28515625" style="9" customWidth="1"/>
    <col min="2565" max="2565" width="0" style="9" hidden="1" customWidth="1"/>
    <col min="2566" max="2567" width="2.85546875" style="9" bestFit="1" customWidth="1"/>
    <col min="2568" max="2568" width="2.85546875" style="9" customWidth="1"/>
    <col min="2569" max="2570" width="2.85546875" style="9" bestFit="1" customWidth="1"/>
    <col min="2571" max="2579" width="2.85546875" style="9" customWidth="1"/>
    <col min="2580" max="2580" width="2.85546875" style="9" bestFit="1" customWidth="1"/>
    <col min="2581" max="2581" width="2.85546875" style="9" customWidth="1"/>
    <col min="2582" max="2816" width="9" style="9"/>
    <col min="2817" max="2817" width="8.140625" style="9" customWidth="1"/>
    <col min="2818" max="2818" width="13.28515625" style="9" customWidth="1"/>
    <col min="2819" max="2819" width="10.7109375" style="9" customWidth="1"/>
    <col min="2820" max="2820" width="11.28515625" style="9" customWidth="1"/>
    <col min="2821" max="2821" width="0" style="9" hidden="1" customWidth="1"/>
    <col min="2822" max="2823" width="2.85546875" style="9" bestFit="1" customWidth="1"/>
    <col min="2824" max="2824" width="2.85546875" style="9" customWidth="1"/>
    <col min="2825" max="2826" width="2.85546875" style="9" bestFit="1" customWidth="1"/>
    <col min="2827" max="2835" width="2.85546875" style="9" customWidth="1"/>
    <col min="2836" max="2836" width="2.85546875" style="9" bestFit="1" customWidth="1"/>
    <col min="2837" max="2837" width="2.85546875" style="9" customWidth="1"/>
    <col min="2838" max="3072" width="9" style="9"/>
    <col min="3073" max="3073" width="8.140625" style="9" customWidth="1"/>
    <col min="3074" max="3074" width="13.28515625" style="9" customWidth="1"/>
    <col min="3075" max="3075" width="10.7109375" style="9" customWidth="1"/>
    <col min="3076" max="3076" width="11.28515625" style="9" customWidth="1"/>
    <col min="3077" max="3077" width="0" style="9" hidden="1" customWidth="1"/>
    <col min="3078" max="3079" width="2.85546875" style="9" bestFit="1" customWidth="1"/>
    <col min="3080" max="3080" width="2.85546875" style="9" customWidth="1"/>
    <col min="3081" max="3082" width="2.85546875" style="9" bestFit="1" customWidth="1"/>
    <col min="3083" max="3091" width="2.85546875" style="9" customWidth="1"/>
    <col min="3092" max="3092" width="2.85546875" style="9" bestFit="1" customWidth="1"/>
    <col min="3093" max="3093" width="2.85546875" style="9" customWidth="1"/>
    <col min="3094" max="3328" width="9" style="9"/>
    <col min="3329" max="3329" width="8.140625" style="9" customWidth="1"/>
    <col min="3330" max="3330" width="13.28515625" style="9" customWidth="1"/>
    <col min="3331" max="3331" width="10.7109375" style="9" customWidth="1"/>
    <col min="3332" max="3332" width="11.28515625" style="9" customWidth="1"/>
    <col min="3333" max="3333" width="0" style="9" hidden="1" customWidth="1"/>
    <col min="3334" max="3335" width="2.85546875" style="9" bestFit="1" customWidth="1"/>
    <col min="3336" max="3336" width="2.85546875" style="9" customWidth="1"/>
    <col min="3337" max="3338" width="2.85546875" style="9" bestFit="1" customWidth="1"/>
    <col min="3339" max="3347" width="2.85546875" style="9" customWidth="1"/>
    <col min="3348" max="3348" width="2.85546875" style="9" bestFit="1" customWidth="1"/>
    <col min="3349" max="3349" width="2.85546875" style="9" customWidth="1"/>
    <col min="3350" max="3584" width="9" style="9"/>
    <col min="3585" max="3585" width="8.140625" style="9" customWidth="1"/>
    <col min="3586" max="3586" width="13.28515625" style="9" customWidth="1"/>
    <col min="3587" max="3587" width="10.7109375" style="9" customWidth="1"/>
    <col min="3588" max="3588" width="11.28515625" style="9" customWidth="1"/>
    <col min="3589" max="3589" width="0" style="9" hidden="1" customWidth="1"/>
    <col min="3590" max="3591" width="2.85546875" style="9" bestFit="1" customWidth="1"/>
    <col min="3592" max="3592" width="2.85546875" style="9" customWidth="1"/>
    <col min="3593" max="3594" width="2.85546875" style="9" bestFit="1" customWidth="1"/>
    <col min="3595" max="3603" width="2.85546875" style="9" customWidth="1"/>
    <col min="3604" max="3604" width="2.85546875" style="9" bestFit="1" customWidth="1"/>
    <col min="3605" max="3605" width="2.85546875" style="9" customWidth="1"/>
    <col min="3606" max="3840" width="9" style="9"/>
    <col min="3841" max="3841" width="8.140625" style="9" customWidth="1"/>
    <col min="3842" max="3842" width="13.28515625" style="9" customWidth="1"/>
    <col min="3843" max="3843" width="10.7109375" style="9" customWidth="1"/>
    <col min="3844" max="3844" width="11.28515625" style="9" customWidth="1"/>
    <col min="3845" max="3845" width="0" style="9" hidden="1" customWidth="1"/>
    <col min="3846" max="3847" width="2.85546875" style="9" bestFit="1" customWidth="1"/>
    <col min="3848" max="3848" width="2.85546875" style="9" customWidth="1"/>
    <col min="3849" max="3850" width="2.85546875" style="9" bestFit="1" customWidth="1"/>
    <col min="3851" max="3859" width="2.85546875" style="9" customWidth="1"/>
    <col min="3860" max="3860" width="2.85546875" style="9" bestFit="1" customWidth="1"/>
    <col min="3861" max="3861" width="2.85546875" style="9" customWidth="1"/>
    <col min="3862" max="4096" width="9" style="9"/>
    <col min="4097" max="4097" width="8.140625" style="9" customWidth="1"/>
    <col min="4098" max="4098" width="13.28515625" style="9" customWidth="1"/>
    <col min="4099" max="4099" width="10.7109375" style="9" customWidth="1"/>
    <col min="4100" max="4100" width="11.28515625" style="9" customWidth="1"/>
    <col min="4101" max="4101" width="0" style="9" hidden="1" customWidth="1"/>
    <col min="4102" max="4103" width="2.85546875" style="9" bestFit="1" customWidth="1"/>
    <col min="4104" max="4104" width="2.85546875" style="9" customWidth="1"/>
    <col min="4105" max="4106" width="2.85546875" style="9" bestFit="1" customWidth="1"/>
    <col min="4107" max="4115" width="2.85546875" style="9" customWidth="1"/>
    <col min="4116" max="4116" width="2.85546875" style="9" bestFit="1" customWidth="1"/>
    <col min="4117" max="4117" width="2.85546875" style="9" customWidth="1"/>
    <col min="4118" max="4352" width="9" style="9"/>
    <col min="4353" max="4353" width="8.140625" style="9" customWidth="1"/>
    <col min="4354" max="4354" width="13.28515625" style="9" customWidth="1"/>
    <col min="4355" max="4355" width="10.7109375" style="9" customWidth="1"/>
    <col min="4356" max="4356" width="11.28515625" style="9" customWidth="1"/>
    <col min="4357" max="4357" width="0" style="9" hidden="1" customWidth="1"/>
    <col min="4358" max="4359" width="2.85546875" style="9" bestFit="1" customWidth="1"/>
    <col min="4360" max="4360" width="2.85546875" style="9" customWidth="1"/>
    <col min="4361" max="4362" width="2.85546875" style="9" bestFit="1" customWidth="1"/>
    <col min="4363" max="4371" width="2.85546875" style="9" customWidth="1"/>
    <col min="4372" max="4372" width="2.85546875" style="9" bestFit="1" customWidth="1"/>
    <col min="4373" max="4373" width="2.85546875" style="9" customWidth="1"/>
    <col min="4374" max="4608" width="9" style="9"/>
    <col min="4609" max="4609" width="8.140625" style="9" customWidth="1"/>
    <col min="4610" max="4610" width="13.28515625" style="9" customWidth="1"/>
    <col min="4611" max="4611" width="10.7109375" style="9" customWidth="1"/>
    <col min="4612" max="4612" width="11.28515625" style="9" customWidth="1"/>
    <col min="4613" max="4613" width="0" style="9" hidden="1" customWidth="1"/>
    <col min="4614" max="4615" width="2.85546875" style="9" bestFit="1" customWidth="1"/>
    <col min="4616" max="4616" width="2.85546875" style="9" customWidth="1"/>
    <col min="4617" max="4618" width="2.85546875" style="9" bestFit="1" customWidth="1"/>
    <col min="4619" max="4627" width="2.85546875" style="9" customWidth="1"/>
    <col min="4628" max="4628" width="2.85546875" style="9" bestFit="1" customWidth="1"/>
    <col min="4629" max="4629" width="2.85546875" style="9" customWidth="1"/>
    <col min="4630" max="4864" width="9" style="9"/>
    <col min="4865" max="4865" width="8.140625" style="9" customWidth="1"/>
    <col min="4866" max="4866" width="13.28515625" style="9" customWidth="1"/>
    <col min="4867" max="4867" width="10.7109375" style="9" customWidth="1"/>
    <col min="4868" max="4868" width="11.28515625" style="9" customWidth="1"/>
    <col min="4869" max="4869" width="0" style="9" hidden="1" customWidth="1"/>
    <col min="4870" max="4871" width="2.85546875" style="9" bestFit="1" customWidth="1"/>
    <col min="4872" max="4872" width="2.85546875" style="9" customWidth="1"/>
    <col min="4873" max="4874" width="2.85546875" style="9" bestFit="1" customWidth="1"/>
    <col min="4875" max="4883" width="2.85546875" style="9" customWidth="1"/>
    <col min="4884" max="4884" width="2.85546875" style="9" bestFit="1" customWidth="1"/>
    <col min="4885" max="4885" width="2.85546875" style="9" customWidth="1"/>
    <col min="4886" max="5120" width="9" style="9"/>
    <col min="5121" max="5121" width="8.140625" style="9" customWidth="1"/>
    <col min="5122" max="5122" width="13.28515625" style="9" customWidth="1"/>
    <col min="5123" max="5123" width="10.7109375" style="9" customWidth="1"/>
    <col min="5124" max="5124" width="11.28515625" style="9" customWidth="1"/>
    <col min="5125" max="5125" width="0" style="9" hidden="1" customWidth="1"/>
    <col min="5126" max="5127" width="2.85546875" style="9" bestFit="1" customWidth="1"/>
    <col min="5128" max="5128" width="2.85546875" style="9" customWidth="1"/>
    <col min="5129" max="5130" width="2.85546875" style="9" bestFit="1" customWidth="1"/>
    <col min="5131" max="5139" width="2.85546875" style="9" customWidth="1"/>
    <col min="5140" max="5140" width="2.85546875" style="9" bestFit="1" customWidth="1"/>
    <col min="5141" max="5141" width="2.85546875" style="9" customWidth="1"/>
    <col min="5142" max="5376" width="9" style="9"/>
    <col min="5377" max="5377" width="8.140625" style="9" customWidth="1"/>
    <col min="5378" max="5378" width="13.28515625" style="9" customWidth="1"/>
    <col min="5379" max="5379" width="10.7109375" style="9" customWidth="1"/>
    <col min="5380" max="5380" width="11.28515625" style="9" customWidth="1"/>
    <col min="5381" max="5381" width="0" style="9" hidden="1" customWidth="1"/>
    <col min="5382" max="5383" width="2.85546875" style="9" bestFit="1" customWidth="1"/>
    <col min="5384" max="5384" width="2.85546875" style="9" customWidth="1"/>
    <col min="5385" max="5386" width="2.85546875" style="9" bestFit="1" customWidth="1"/>
    <col min="5387" max="5395" width="2.85546875" style="9" customWidth="1"/>
    <col min="5396" max="5396" width="2.85546875" style="9" bestFit="1" customWidth="1"/>
    <col min="5397" max="5397" width="2.85546875" style="9" customWidth="1"/>
    <col min="5398" max="5632" width="9" style="9"/>
    <col min="5633" max="5633" width="8.140625" style="9" customWidth="1"/>
    <col min="5634" max="5634" width="13.28515625" style="9" customWidth="1"/>
    <col min="5635" max="5635" width="10.7109375" style="9" customWidth="1"/>
    <col min="5636" max="5636" width="11.28515625" style="9" customWidth="1"/>
    <col min="5637" max="5637" width="0" style="9" hidden="1" customWidth="1"/>
    <col min="5638" max="5639" width="2.85546875" style="9" bestFit="1" customWidth="1"/>
    <col min="5640" max="5640" width="2.85546875" style="9" customWidth="1"/>
    <col min="5641" max="5642" width="2.85546875" style="9" bestFit="1" customWidth="1"/>
    <col min="5643" max="5651" width="2.85546875" style="9" customWidth="1"/>
    <col min="5652" max="5652" width="2.85546875" style="9" bestFit="1" customWidth="1"/>
    <col min="5653" max="5653" width="2.85546875" style="9" customWidth="1"/>
    <col min="5654" max="5888" width="9" style="9"/>
    <col min="5889" max="5889" width="8.140625" style="9" customWidth="1"/>
    <col min="5890" max="5890" width="13.28515625" style="9" customWidth="1"/>
    <col min="5891" max="5891" width="10.7109375" style="9" customWidth="1"/>
    <col min="5892" max="5892" width="11.28515625" style="9" customWidth="1"/>
    <col min="5893" max="5893" width="0" style="9" hidden="1" customWidth="1"/>
    <col min="5894" max="5895" width="2.85546875" style="9" bestFit="1" customWidth="1"/>
    <col min="5896" max="5896" width="2.85546875" style="9" customWidth="1"/>
    <col min="5897" max="5898" width="2.85546875" style="9" bestFit="1" customWidth="1"/>
    <col min="5899" max="5907" width="2.85546875" style="9" customWidth="1"/>
    <col min="5908" max="5908" width="2.85546875" style="9" bestFit="1" customWidth="1"/>
    <col min="5909" max="5909" width="2.85546875" style="9" customWidth="1"/>
    <col min="5910" max="6144" width="9" style="9"/>
    <col min="6145" max="6145" width="8.140625" style="9" customWidth="1"/>
    <col min="6146" max="6146" width="13.28515625" style="9" customWidth="1"/>
    <col min="6147" max="6147" width="10.7109375" style="9" customWidth="1"/>
    <col min="6148" max="6148" width="11.28515625" style="9" customWidth="1"/>
    <col min="6149" max="6149" width="0" style="9" hidden="1" customWidth="1"/>
    <col min="6150" max="6151" width="2.85546875" style="9" bestFit="1" customWidth="1"/>
    <col min="6152" max="6152" width="2.85546875" style="9" customWidth="1"/>
    <col min="6153" max="6154" width="2.85546875" style="9" bestFit="1" customWidth="1"/>
    <col min="6155" max="6163" width="2.85546875" style="9" customWidth="1"/>
    <col min="6164" max="6164" width="2.85546875" style="9" bestFit="1" customWidth="1"/>
    <col min="6165" max="6165" width="2.85546875" style="9" customWidth="1"/>
    <col min="6166" max="6400" width="9" style="9"/>
    <col min="6401" max="6401" width="8.140625" style="9" customWidth="1"/>
    <col min="6402" max="6402" width="13.28515625" style="9" customWidth="1"/>
    <col min="6403" max="6403" width="10.7109375" style="9" customWidth="1"/>
    <col min="6404" max="6404" width="11.28515625" style="9" customWidth="1"/>
    <col min="6405" max="6405" width="0" style="9" hidden="1" customWidth="1"/>
    <col min="6406" max="6407" width="2.85546875" style="9" bestFit="1" customWidth="1"/>
    <col min="6408" max="6408" width="2.85546875" style="9" customWidth="1"/>
    <col min="6409" max="6410" width="2.85546875" style="9" bestFit="1" customWidth="1"/>
    <col min="6411" max="6419" width="2.85546875" style="9" customWidth="1"/>
    <col min="6420" max="6420" width="2.85546875" style="9" bestFit="1" customWidth="1"/>
    <col min="6421" max="6421" width="2.85546875" style="9" customWidth="1"/>
    <col min="6422" max="6656" width="9" style="9"/>
    <col min="6657" max="6657" width="8.140625" style="9" customWidth="1"/>
    <col min="6658" max="6658" width="13.28515625" style="9" customWidth="1"/>
    <col min="6659" max="6659" width="10.7109375" style="9" customWidth="1"/>
    <col min="6660" max="6660" width="11.28515625" style="9" customWidth="1"/>
    <col min="6661" max="6661" width="0" style="9" hidden="1" customWidth="1"/>
    <col min="6662" max="6663" width="2.85546875" style="9" bestFit="1" customWidth="1"/>
    <col min="6664" max="6664" width="2.85546875" style="9" customWidth="1"/>
    <col min="6665" max="6666" width="2.85546875" style="9" bestFit="1" customWidth="1"/>
    <col min="6667" max="6675" width="2.85546875" style="9" customWidth="1"/>
    <col min="6676" max="6676" width="2.85546875" style="9" bestFit="1" customWidth="1"/>
    <col min="6677" max="6677" width="2.85546875" style="9" customWidth="1"/>
    <col min="6678" max="6912" width="9" style="9"/>
    <col min="6913" max="6913" width="8.140625" style="9" customWidth="1"/>
    <col min="6914" max="6914" width="13.28515625" style="9" customWidth="1"/>
    <col min="6915" max="6915" width="10.7109375" style="9" customWidth="1"/>
    <col min="6916" max="6916" width="11.28515625" style="9" customWidth="1"/>
    <col min="6917" max="6917" width="0" style="9" hidden="1" customWidth="1"/>
    <col min="6918" max="6919" width="2.85546875" style="9" bestFit="1" customWidth="1"/>
    <col min="6920" max="6920" width="2.85546875" style="9" customWidth="1"/>
    <col min="6921" max="6922" width="2.85546875" style="9" bestFit="1" customWidth="1"/>
    <col min="6923" max="6931" width="2.85546875" style="9" customWidth="1"/>
    <col min="6932" max="6932" width="2.85546875" style="9" bestFit="1" customWidth="1"/>
    <col min="6933" max="6933" width="2.85546875" style="9" customWidth="1"/>
    <col min="6934" max="7168" width="9" style="9"/>
    <col min="7169" max="7169" width="8.140625" style="9" customWidth="1"/>
    <col min="7170" max="7170" width="13.28515625" style="9" customWidth="1"/>
    <col min="7171" max="7171" width="10.7109375" style="9" customWidth="1"/>
    <col min="7172" max="7172" width="11.28515625" style="9" customWidth="1"/>
    <col min="7173" max="7173" width="0" style="9" hidden="1" customWidth="1"/>
    <col min="7174" max="7175" width="2.85546875" style="9" bestFit="1" customWidth="1"/>
    <col min="7176" max="7176" width="2.85546875" style="9" customWidth="1"/>
    <col min="7177" max="7178" width="2.85546875" style="9" bestFit="1" customWidth="1"/>
    <col min="7179" max="7187" width="2.85546875" style="9" customWidth="1"/>
    <col min="7188" max="7188" width="2.85546875" style="9" bestFit="1" customWidth="1"/>
    <col min="7189" max="7189" width="2.85546875" style="9" customWidth="1"/>
    <col min="7190" max="7424" width="9" style="9"/>
    <col min="7425" max="7425" width="8.140625" style="9" customWidth="1"/>
    <col min="7426" max="7426" width="13.28515625" style="9" customWidth="1"/>
    <col min="7427" max="7427" width="10.7109375" style="9" customWidth="1"/>
    <col min="7428" max="7428" width="11.28515625" style="9" customWidth="1"/>
    <col min="7429" max="7429" width="0" style="9" hidden="1" customWidth="1"/>
    <col min="7430" max="7431" width="2.85546875" style="9" bestFit="1" customWidth="1"/>
    <col min="7432" max="7432" width="2.85546875" style="9" customWidth="1"/>
    <col min="7433" max="7434" width="2.85546875" style="9" bestFit="1" customWidth="1"/>
    <col min="7435" max="7443" width="2.85546875" style="9" customWidth="1"/>
    <col min="7444" max="7444" width="2.85546875" style="9" bestFit="1" customWidth="1"/>
    <col min="7445" max="7445" width="2.85546875" style="9" customWidth="1"/>
    <col min="7446" max="7680" width="9" style="9"/>
    <col min="7681" max="7681" width="8.140625" style="9" customWidth="1"/>
    <col min="7682" max="7682" width="13.28515625" style="9" customWidth="1"/>
    <col min="7683" max="7683" width="10.7109375" style="9" customWidth="1"/>
    <col min="7684" max="7684" width="11.28515625" style="9" customWidth="1"/>
    <col min="7685" max="7685" width="0" style="9" hidden="1" customWidth="1"/>
    <col min="7686" max="7687" width="2.85546875" style="9" bestFit="1" customWidth="1"/>
    <col min="7688" max="7688" width="2.85546875" style="9" customWidth="1"/>
    <col min="7689" max="7690" width="2.85546875" style="9" bestFit="1" customWidth="1"/>
    <col min="7691" max="7699" width="2.85546875" style="9" customWidth="1"/>
    <col min="7700" max="7700" width="2.85546875" style="9" bestFit="1" customWidth="1"/>
    <col min="7701" max="7701" width="2.85546875" style="9" customWidth="1"/>
    <col min="7702" max="7936" width="9" style="9"/>
    <col min="7937" max="7937" width="8.140625" style="9" customWidth="1"/>
    <col min="7938" max="7938" width="13.28515625" style="9" customWidth="1"/>
    <col min="7939" max="7939" width="10.7109375" style="9" customWidth="1"/>
    <col min="7940" max="7940" width="11.28515625" style="9" customWidth="1"/>
    <col min="7941" max="7941" width="0" style="9" hidden="1" customWidth="1"/>
    <col min="7942" max="7943" width="2.85546875" style="9" bestFit="1" customWidth="1"/>
    <col min="7944" max="7944" width="2.85546875" style="9" customWidth="1"/>
    <col min="7945" max="7946" width="2.85546875" style="9" bestFit="1" customWidth="1"/>
    <col min="7947" max="7955" width="2.85546875" style="9" customWidth="1"/>
    <col min="7956" max="7956" width="2.85546875" style="9" bestFit="1" customWidth="1"/>
    <col min="7957" max="7957" width="2.85546875" style="9" customWidth="1"/>
    <col min="7958" max="8192" width="9" style="9"/>
    <col min="8193" max="8193" width="8.140625" style="9" customWidth="1"/>
    <col min="8194" max="8194" width="13.28515625" style="9" customWidth="1"/>
    <col min="8195" max="8195" width="10.7109375" style="9" customWidth="1"/>
    <col min="8196" max="8196" width="11.28515625" style="9" customWidth="1"/>
    <col min="8197" max="8197" width="0" style="9" hidden="1" customWidth="1"/>
    <col min="8198" max="8199" width="2.85546875" style="9" bestFit="1" customWidth="1"/>
    <col min="8200" max="8200" width="2.85546875" style="9" customWidth="1"/>
    <col min="8201" max="8202" width="2.85546875" style="9" bestFit="1" customWidth="1"/>
    <col min="8203" max="8211" width="2.85546875" style="9" customWidth="1"/>
    <col min="8212" max="8212" width="2.85546875" style="9" bestFit="1" customWidth="1"/>
    <col min="8213" max="8213" width="2.85546875" style="9" customWidth="1"/>
    <col min="8214" max="8448" width="9" style="9"/>
    <col min="8449" max="8449" width="8.140625" style="9" customWidth="1"/>
    <col min="8450" max="8450" width="13.28515625" style="9" customWidth="1"/>
    <col min="8451" max="8451" width="10.7109375" style="9" customWidth="1"/>
    <col min="8452" max="8452" width="11.28515625" style="9" customWidth="1"/>
    <col min="8453" max="8453" width="0" style="9" hidden="1" customWidth="1"/>
    <col min="8454" max="8455" width="2.85546875" style="9" bestFit="1" customWidth="1"/>
    <col min="8456" max="8456" width="2.85546875" style="9" customWidth="1"/>
    <col min="8457" max="8458" width="2.85546875" style="9" bestFit="1" customWidth="1"/>
    <col min="8459" max="8467" width="2.85546875" style="9" customWidth="1"/>
    <col min="8468" max="8468" width="2.85546875" style="9" bestFit="1" customWidth="1"/>
    <col min="8469" max="8469" width="2.85546875" style="9" customWidth="1"/>
    <col min="8470" max="8704" width="9" style="9"/>
    <col min="8705" max="8705" width="8.140625" style="9" customWidth="1"/>
    <col min="8706" max="8706" width="13.28515625" style="9" customWidth="1"/>
    <col min="8707" max="8707" width="10.7109375" style="9" customWidth="1"/>
    <col min="8708" max="8708" width="11.28515625" style="9" customWidth="1"/>
    <col min="8709" max="8709" width="0" style="9" hidden="1" customWidth="1"/>
    <col min="8710" max="8711" width="2.85546875" style="9" bestFit="1" customWidth="1"/>
    <col min="8712" max="8712" width="2.85546875" style="9" customWidth="1"/>
    <col min="8713" max="8714" width="2.85546875" style="9" bestFit="1" customWidth="1"/>
    <col min="8715" max="8723" width="2.85546875" style="9" customWidth="1"/>
    <col min="8724" max="8724" width="2.85546875" style="9" bestFit="1" customWidth="1"/>
    <col min="8725" max="8725" width="2.85546875" style="9" customWidth="1"/>
    <col min="8726" max="8960" width="9" style="9"/>
    <col min="8961" max="8961" width="8.140625" style="9" customWidth="1"/>
    <col min="8962" max="8962" width="13.28515625" style="9" customWidth="1"/>
    <col min="8963" max="8963" width="10.7109375" style="9" customWidth="1"/>
    <col min="8964" max="8964" width="11.28515625" style="9" customWidth="1"/>
    <col min="8965" max="8965" width="0" style="9" hidden="1" customWidth="1"/>
    <col min="8966" max="8967" width="2.85546875" style="9" bestFit="1" customWidth="1"/>
    <col min="8968" max="8968" width="2.85546875" style="9" customWidth="1"/>
    <col min="8969" max="8970" width="2.85546875" style="9" bestFit="1" customWidth="1"/>
    <col min="8971" max="8979" width="2.85546875" style="9" customWidth="1"/>
    <col min="8980" max="8980" width="2.85546875" style="9" bestFit="1" customWidth="1"/>
    <col min="8981" max="8981" width="2.85546875" style="9" customWidth="1"/>
    <col min="8982" max="9216" width="9" style="9"/>
    <col min="9217" max="9217" width="8.140625" style="9" customWidth="1"/>
    <col min="9218" max="9218" width="13.28515625" style="9" customWidth="1"/>
    <col min="9219" max="9219" width="10.7109375" style="9" customWidth="1"/>
    <col min="9220" max="9220" width="11.28515625" style="9" customWidth="1"/>
    <col min="9221" max="9221" width="0" style="9" hidden="1" customWidth="1"/>
    <col min="9222" max="9223" width="2.85546875" style="9" bestFit="1" customWidth="1"/>
    <col min="9224" max="9224" width="2.85546875" style="9" customWidth="1"/>
    <col min="9225" max="9226" width="2.85546875" style="9" bestFit="1" customWidth="1"/>
    <col min="9227" max="9235" width="2.85546875" style="9" customWidth="1"/>
    <col min="9236" max="9236" width="2.85546875" style="9" bestFit="1" customWidth="1"/>
    <col min="9237" max="9237" width="2.85546875" style="9" customWidth="1"/>
    <col min="9238" max="9472" width="9" style="9"/>
    <col min="9473" max="9473" width="8.140625" style="9" customWidth="1"/>
    <col min="9474" max="9474" width="13.28515625" style="9" customWidth="1"/>
    <col min="9475" max="9475" width="10.7109375" style="9" customWidth="1"/>
    <col min="9476" max="9476" width="11.28515625" style="9" customWidth="1"/>
    <col min="9477" max="9477" width="0" style="9" hidden="1" customWidth="1"/>
    <col min="9478" max="9479" width="2.85546875" style="9" bestFit="1" customWidth="1"/>
    <col min="9480" max="9480" width="2.85546875" style="9" customWidth="1"/>
    <col min="9481" max="9482" width="2.85546875" style="9" bestFit="1" customWidth="1"/>
    <col min="9483" max="9491" width="2.85546875" style="9" customWidth="1"/>
    <col min="9492" max="9492" width="2.85546875" style="9" bestFit="1" customWidth="1"/>
    <col min="9493" max="9493" width="2.85546875" style="9" customWidth="1"/>
    <col min="9494" max="9728" width="9" style="9"/>
    <col min="9729" max="9729" width="8.140625" style="9" customWidth="1"/>
    <col min="9730" max="9730" width="13.28515625" style="9" customWidth="1"/>
    <col min="9731" max="9731" width="10.7109375" style="9" customWidth="1"/>
    <col min="9732" max="9732" width="11.28515625" style="9" customWidth="1"/>
    <col min="9733" max="9733" width="0" style="9" hidden="1" customWidth="1"/>
    <col min="9734" max="9735" width="2.85546875" style="9" bestFit="1" customWidth="1"/>
    <col min="9736" max="9736" width="2.85546875" style="9" customWidth="1"/>
    <col min="9737" max="9738" width="2.85546875" style="9" bestFit="1" customWidth="1"/>
    <col min="9739" max="9747" width="2.85546875" style="9" customWidth="1"/>
    <col min="9748" max="9748" width="2.85546875" style="9" bestFit="1" customWidth="1"/>
    <col min="9749" max="9749" width="2.85546875" style="9" customWidth="1"/>
    <col min="9750" max="9984" width="9" style="9"/>
    <col min="9985" max="9985" width="8.140625" style="9" customWidth="1"/>
    <col min="9986" max="9986" width="13.28515625" style="9" customWidth="1"/>
    <col min="9987" max="9987" width="10.7109375" style="9" customWidth="1"/>
    <col min="9988" max="9988" width="11.28515625" style="9" customWidth="1"/>
    <col min="9989" max="9989" width="0" style="9" hidden="1" customWidth="1"/>
    <col min="9990" max="9991" width="2.85546875" style="9" bestFit="1" customWidth="1"/>
    <col min="9992" max="9992" width="2.85546875" style="9" customWidth="1"/>
    <col min="9993" max="9994" width="2.85546875" style="9" bestFit="1" customWidth="1"/>
    <col min="9995" max="10003" width="2.85546875" style="9" customWidth="1"/>
    <col min="10004" max="10004" width="2.85546875" style="9" bestFit="1" customWidth="1"/>
    <col min="10005" max="10005" width="2.85546875" style="9" customWidth="1"/>
    <col min="10006" max="10240" width="9" style="9"/>
    <col min="10241" max="10241" width="8.140625" style="9" customWidth="1"/>
    <col min="10242" max="10242" width="13.28515625" style="9" customWidth="1"/>
    <col min="10243" max="10243" width="10.7109375" style="9" customWidth="1"/>
    <col min="10244" max="10244" width="11.28515625" style="9" customWidth="1"/>
    <col min="10245" max="10245" width="0" style="9" hidden="1" customWidth="1"/>
    <col min="10246" max="10247" width="2.85546875" style="9" bestFit="1" customWidth="1"/>
    <col min="10248" max="10248" width="2.85546875" style="9" customWidth="1"/>
    <col min="10249" max="10250" width="2.85546875" style="9" bestFit="1" customWidth="1"/>
    <col min="10251" max="10259" width="2.85546875" style="9" customWidth="1"/>
    <col min="10260" max="10260" width="2.85546875" style="9" bestFit="1" customWidth="1"/>
    <col min="10261" max="10261" width="2.85546875" style="9" customWidth="1"/>
    <col min="10262" max="10496" width="9" style="9"/>
    <col min="10497" max="10497" width="8.140625" style="9" customWidth="1"/>
    <col min="10498" max="10498" width="13.28515625" style="9" customWidth="1"/>
    <col min="10499" max="10499" width="10.7109375" style="9" customWidth="1"/>
    <col min="10500" max="10500" width="11.28515625" style="9" customWidth="1"/>
    <col min="10501" max="10501" width="0" style="9" hidden="1" customWidth="1"/>
    <col min="10502" max="10503" width="2.85546875" style="9" bestFit="1" customWidth="1"/>
    <col min="10504" max="10504" width="2.85546875" style="9" customWidth="1"/>
    <col min="10505" max="10506" width="2.85546875" style="9" bestFit="1" customWidth="1"/>
    <col min="10507" max="10515" width="2.85546875" style="9" customWidth="1"/>
    <col min="10516" max="10516" width="2.85546875" style="9" bestFit="1" customWidth="1"/>
    <col min="10517" max="10517" width="2.85546875" style="9" customWidth="1"/>
    <col min="10518" max="10752" width="9" style="9"/>
    <col min="10753" max="10753" width="8.140625" style="9" customWidth="1"/>
    <col min="10754" max="10754" width="13.28515625" style="9" customWidth="1"/>
    <col min="10755" max="10755" width="10.7109375" style="9" customWidth="1"/>
    <col min="10756" max="10756" width="11.28515625" style="9" customWidth="1"/>
    <col min="10757" max="10757" width="0" style="9" hidden="1" customWidth="1"/>
    <col min="10758" max="10759" width="2.85546875" style="9" bestFit="1" customWidth="1"/>
    <col min="10760" max="10760" width="2.85546875" style="9" customWidth="1"/>
    <col min="10761" max="10762" width="2.85546875" style="9" bestFit="1" customWidth="1"/>
    <col min="10763" max="10771" width="2.85546875" style="9" customWidth="1"/>
    <col min="10772" max="10772" width="2.85546875" style="9" bestFit="1" customWidth="1"/>
    <col min="10773" max="10773" width="2.85546875" style="9" customWidth="1"/>
    <col min="10774" max="11008" width="9" style="9"/>
    <col min="11009" max="11009" width="8.140625" style="9" customWidth="1"/>
    <col min="11010" max="11010" width="13.28515625" style="9" customWidth="1"/>
    <col min="11011" max="11011" width="10.7109375" style="9" customWidth="1"/>
    <col min="11012" max="11012" width="11.28515625" style="9" customWidth="1"/>
    <col min="11013" max="11013" width="0" style="9" hidden="1" customWidth="1"/>
    <col min="11014" max="11015" width="2.85546875" style="9" bestFit="1" customWidth="1"/>
    <col min="11016" max="11016" width="2.85546875" style="9" customWidth="1"/>
    <col min="11017" max="11018" width="2.85546875" style="9" bestFit="1" customWidth="1"/>
    <col min="11019" max="11027" width="2.85546875" style="9" customWidth="1"/>
    <col min="11028" max="11028" width="2.85546875" style="9" bestFit="1" customWidth="1"/>
    <col min="11029" max="11029" width="2.85546875" style="9" customWidth="1"/>
    <col min="11030" max="11264" width="9" style="9"/>
    <col min="11265" max="11265" width="8.140625" style="9" customWidth="1"/>
    <col min="11266" max="11266" width="13.28515625" style="9" customWidth="1"/>
    <col min="11267" max="11267" width="10.7109375" style="9" customWidth="1"/>
    <col min="11268" max="11268" width="11.28515625" style="9" customWidth="1"/>
    <col min="11269" max="11269" width="0" style="9" hidden="1" customWidth="1"/>
    <col min="11270" max="11271" width="2.85546875" style="9" bestFit="1" customWidth="1"/>
    <col min="11272" max="11272" width="2.85546875" style="9" customWidth="1"/>
    <col min="11273" max="11274" width="2.85546875" style="9" bestFit="1" customWidth="1"/>
    <col min="11275" max="11283" width="2.85546875" style="9" customWidth="1"/>
    <col min="11284" max="11284" width="2.85546875" style="9" bestFit="1" customWidth="1"/>
    <col min="11285" max="11285" width="2.85546875" style="9" customWidth="1"/>
    <col min="11286" max="11520" width="9" style="9"/>
    <col min="11521" max="11521" width="8.140625" style="9" customWidth="1"/>
    <col min="11522" max="11522" width="13.28515625" style="9" customWidth="1"/>
    <col min="11523" max="11523" width="10.7109375" style="9" customWidth="1"/>
    <col min="11524" max="11524" width="11.28515625" style="9" customWidth="1"/>
    <col min="11525" max="11525" width="0" style="9" hidden="1" customWidth="1"/>
    <col min="11526" max="11527" width="2.85546875" style="9" bestFit="1" customWidth="1"/>
    <col min="11528" max="11528" width="2.85546875" style="9" customWidth="1"/>
    <col min="11529" max="11530" width="2.85546875" style="9" bestFit="1" customWidth="1"/>
    <col min="11531" max="11539" width="2.85546875" style="9" customWidth="1"/>
    <col min="11540" max="11540" width="2.85546875" style="9" bestFit="1" customWidth="1"/>
    <col min="11541" max="11541" width="2.85546875" style="9" customWidth="1"/>
    <col min="11542" max="11776" width="9" style="9"/>
    <col min="11777" max="11777" width="8.140625" style="9" customWidth="1"/>
    <col min="11778" max="11778" width="13.28515625" style="9" customWidth="1"/>
    <col min="11779" max="11779" width="10.7109375" style="9" customWidth="1"/>
    <col min="11780" max="11780" width="11.28515625" style="9" customWidth="1"/>
    <col min="11781" max="11781" width="0" style="9" hidden="1" customWidth="1"/>
    <col min="11782" max="11783" width="2.85546875" style="9" bestFit="1" customWidth="1"/>
    <col min="11784" max="11784" width="2.85546875" style="9" customWidth="1"/>
    <col min="11785" max="11786" width="2.85546875" style="9" bestFit="1" customWidth="1"/>
    <col min="11787" max="11795" width="2.85546875" style="9" customWidth="1"/>
    <col min="11796" max="11796" width="2.85546875" style="9" bestFit="1" customWidth="1"/>
    <col min="11797" max="11797" width="2.85546875" style="9" customWidth="1"/>
    <col min="11798" max="12032" width="9" style="9"/>
    <col min="12033" max="12033" width="8.140625" style="9" customWidth="1"/>
    <col min="12034" max="12034" width="13.28515625" style="9" customWidth="1"/>
    <col min="12035" max="12035" width="10.7109375" style="9" customWidth="1"/>
    <col min="12036" max="12036" width="11.28515625" style="9" customWidth="1"/>
    <col min="12037" max="12037" width="0" style="9" hidden="1" customWidth="1"/>
    <col min="12038" max="12039" width="2.85546875" style="9" bestFit="1" customWidth="1"/>
    <col min="12040" max="12040" width="2.85546875" style="9" customWidth="1"/>
    <col min="12041" max="12042" width="2.85546875" style="9" bestFit="1" customWidth="1"/>
    <col min="12043" max="12051" width="2.85546875" style="9" customWidth="1"/>
    <col min="12052" max="12052" width="2.85546875" style="9" bestFit="1" customWidth="1"/>
    <col min="12053" max="12053" width="2.85546875" style="9" customWidth="1"/>
    <col min="12054" max="12288" width="9" style="9"/>
    <col min="12289" max="12289" width="8.140625" style="9" customWidth="1"/>
    <col min="12290" max="12290" width="13.28515625" style="9" customWidth="1"/>
    <col min="12291" max="12291" width="10.7109375" style="9" customWidth="1"/>
    <col min="12292" max="12292" width="11.28515625" style="9" customWidth="1"/>
    <col min="12293" max="12293" width="0" style="9" hidden="1" customWidth="1"/>
    <col min="12294" max="12295" width="2.85546875" style="9" bestFit="1" customWidth="1"/>
    <col min="12296" max="12296" width="2.85546875" style="9" customWidth="1"/>
    <col min="12297" max="12298" width="2.85546875" style="9" bestFit="1" customWidth="1"/>
    <col min="12299" max="12307" width="2.85546875" style="9" customWidth="1"/>
    <col min="12308" max="12308" width="2.85546875" style="9" bestFit="1" customWidth="1"/>
    <col min="12309" max="12309" width="2.85546875" style="9" customWidth="1"/>
    <col min="12310" max="12544" width="9" style="9"/>
    <col min="12545" max="12545" width="8.140625" style="9" customWidth="1"/>
    <col min="12546" max="12546" width="13.28515625" style="9" customWidth="1"/>
    <col min="12547" max="12547" width="10.7109375" style="9" customWidth="1"/>
    <col min="12548" max="12548" width="11.28515625" style="9" customWidth="1"/>
    <col min="12549" max="12549" width="0" style="9" hidden="1" customWidth="1"/>
    <col min="12550" max="12551" width="2.85546875" style="9" bestFit="1" customWidth="1"/>
    <col min="12552" max="12552" width="2.85546875" style="9" customWidth="1"/>
    <col min="12553" max="12554" width="2.85546875" style="9" bestFit="1" customWidth="1"/>
    <col min="12555" max="12563" width="2.85546875" style="9" customWidth="1"/>
    <col min="12564" max="12564" width="2.85546875" style="9" bestFit="1" customWidth="1"/>
    <col min="12565" max="12565" width="2.85546875" style="9" customWidth="1"/>
    <col min="12566" max="12800" width="9" style="9"/>
    <col min="12801" max="12801" width="8.140625" style="9" customWidth="1"/>
    <col min="12802" max="12802" width="13.28515625" style="9" customWidth="1"/>
    <col min="12803" max="12803" width="10.7109375" style="9" customWidth="1"/>
    <col min="12804" max="12804" width="11.28515625" style="9" customWidth="1"/>
    <col min="12805" max="12805" width="0" style="9" hidden="1" customWidth="1"/>
    <col min="12806" max="12807" width="2.85546875" style="9" bestFit="1" customWidth="1"/>
    <col min="12808" max="12808" width="2.85546875" style="9" customWidth="1"/>
    <col min="12809" max="12810" width="2.85546875" style="9" bestFit="1" customWidth="1"/>
    <col min="12811" max="12819" width="2.85546875" style="9" customWidth="1"/>
    <col min="12820" max="12820" width="2.85546875" style="9" bestFit="1" customWidth="1"/>
    <col min="12821" max="12821" width="2.85546875" style="9" customWidth="1"/>
    <col min="12822" max="13056" width="9" style="9"/>
    <col min="13057" max="13057" width="8.140625" style="9" customWidth="1"/>
    <col min="13058" max="13058" width="13.28515625" style="9" customWidth="1"/>
    <col min="13059" max="13059" width="10.7109375" style="9" customWidth="1"/>
    <col min="13060" max="13060" width="11.28515625" style="9" customWidth="1"/>
    <col min="13061" max="13061" width="0" style="9" hidden="1" customWidth="1"/>
    <col min="13062" max="13063" width="2.85546875" style="9" bestFit="1" customWidth="1"/>
    <col min="13064" max="13064" width="2.85546875" style="9" customWidth="1"/>
    <col min="13065" max="13066" width="2.85546875" style="9" bestFit="1" customWidth="1"/>
    <col min="13067" max="13075" width="2.85546875" style="9" customWidth="1"/>
    <col min="13076" max="13076" width="2.85546875" style="9" bestFit="1" customWidth="1"/>
    <col min="13077" max="13077" width="2.85546875" style="9" customWidth="1"/>
    <col min="13078" max="13312" width="9" style="9"/>
    <col min="13313" max="13313" width="8.140625" style="9" customWidth="1"/>
    <col min="13314" max="13314" width="13.28515625" style="9" customWidth="1"/>
    <col min="13315" max="13315" width="10.7109375" style="9" customWidth="1"/>
    <col min="13316" max="13316" width="11.28515625" style="9" customWidth="1"/>
    <col min="13317" max="13317" width="0" style="9" hidden="1" customWidth="1"/>
    <col min="13318" max="13319" width="2.85546875" style="9" bestFit="1" customWidth="1"/>
    <col min="13320" max="13320" width="2.85546875" style="9" customWidth="1"/>
    <col min="13321" max="13322" width="2.85546875" style="9" bestFit="1" customWidth="1"/>
    <col min="13323" max="13331" width="2.85546875" style="9" customWidth="1"/>
    <col min="13332" max="13332" width="2.85546875" style="9" bestFit="1" customWidth="1"/>
    <col min="13333" max="13333" width="2.85546875" style="9" customWidth="1"/>
    <col min="13334" max="13568" width="9" style="9"/>
    <col min="13569" max="13569" width="8.140625" style="9" customWidth="1"/>
    <col min="13570" max="13570" width="13.28515625" style="9" customWidth="1"/>
    <col min="13571" max="13571" width="10.7109375" style="9" customWidth="1"/>
    <col min="13572" max="13572" width="11.28515625" style="9" customWidth="1"/>
    <col min="13573" max="13573" width="0" style="9" hidden="1" customWidth="1"/>
    <col min="13574" max="13575" width="2.85546875" style="9" bestFit="1" customWidth="1"/>
    <col min="13576" max="13576" width="2.85546875" style="9" customWidth="1"/>
    <col min="13577" max="13578" width="2.85546875" style="9" bestFit="1" customWidth="1"/>
    <col min="13579" max="13587" width="2.85546875" style="9" customWidth="1"/>
    <col min="13588" max="13588" width="2.85546875" style="9" bestFit="1" customWidth="1"/>
    <col min="13589" max="13589" width="2.85546875" style="9" customWidth="1"/>
    <col min="13590" max="13824" width="9" style="9"/>
    <col min="13825" max="13825" width="8.140625" style="9" customWidth="1"/>
    <col min="13826" max="13826" width="13.28515625" style="9" customWidth="1"/>
    <col min="13827" max="13827" width="10.7109375" style="9" customWidth="1"/>
    <col min="13828" max="13828" width="11.28515625" style="9" customWidth="1"/>
    <col min="13829" max="13829" width="0" style="9" hidden="1" customWidth="1"/>
    <col min="13830" max="13831" width="2.85546875" style="9" bestFit="1" customWidth="1"/>
    <col min="13832" max="13832" width="2.85546875" style="9" customWidth="1"/>
    <col min="13833" max="13834" width="2.85546875" style="9" bestFit="1" customWidth="1"/>
    <col min="13835" max="13843" width="2.85546875" style="9" customWidth="1"/>
    <col min="13844" max="13844" width="2.85546875" style="9" bestFit="1" customWidth="1"/>
    <col min="13845" max="13845" width="2.85546875" style="9" customWidth="1"/>
    <col min="13846" max="14080" width="9" style="9"/>
    <col min="14081" max="14081" width="8.140625" style="9" customWidth="1"/>
    <col min="14082" max="14082" width="13.28515625" style="9" customWidth="1"/>
    <col min="14083" max="14083" width="10.7109375" style="9" customWidth="1"/>
    <col min="14084" max="14084" width="11.28515625" style="9" customWidth="1"/>
    <col min="14085" max="14085" width="0" style="9" hidden="1" customWidth="1"/>
    <col min="14086" max="14087" width="2.85546875" style="9" bestFit="1" customWidth="1"/>
    <col min="14088" max="14088" width="2.85546875" style="9" customWidth="1"/>
    <col min="14089" max="14090" width="2.85546875" style="9" bestFit="1" customWidth="1"/>
    <col min="14091" max="14099" width="2.85546875" style="9" customWidth="1"/>
    <col min="14100" max="14100" width="2.85546875" style="9" bestFit="1" customWidth="1"/>
    <col min="14101" max="14101" width="2.85546875" style="9" customWidth="1"/>
    <col min="14102" max="14336" width="9" style="9"/>
    <col min="14337" max="14337" width="8.140625" style="9" customWidth="1"/>
    <col min="14338" max="14338" width="13.28515625" style="9" customWidth="1"/>
    <col min="14339" max="14339" width="10.7109375" style="9" customWidth="1"/>
    <col min="14340" max="14340" width="11.28515625" style="9" customWidth="1"/>
    <col min="14341" max="14341" width="0" style="9" hidden="1" customWidth="1"/>
    <col min="14342" max="14343" width="2.85546875" style="9" bestFit="1" customWidth="1"/>
    <col min="14344" max="14344" width="2.85546875" style="9" customWidth="1"/>
    <col min="14345" max="14346" width="2.85546875" style="9" bestFit="1" customWidth="1"/>
    <col min="14347" max="14355" width="2.85546875" style="9" customWidth="1"/>
    <col min="14356" max="14356" width="2.85546875" style="9" bestFit="1" customWidth="1"/>
    <col min="14357" max="14357" width="2.85546875" style="9" customWidth="1"/>
    <col min="14358" max="14592" width="9" style="9"/>
    <col min="14593" max="14593" width="8.140625" style="9" customWidth="1"/>
    <col min="14594" max="14594" width="13.28515625" style="9" customWidth="1"/>
    <col min="14595" max="14595" width="10.7109375" style="9" customWidth="1"/>
    <col min="14596" max="14596" width="11.28515625" style="9" customWidth="1"/>
    <col min="14597" max="14597" width="0" style="9" hidden="1" customWidth="1"/>
    <col min="14598" max="14599" width="2.85546875" style="9" bestFit="1" customWidth="1"/>
    <col min="14600" max="14600" width="2.85546875" style="9" customWidth="1"/>
    <col min="14601" max="14602" width="2.85546875" style="9" bestFit="1" customWidth="1"/>
    <col min="14603" max="14611" width="2.85546875" style="9" customWidth="1"/>
    <col min="14612" max="14612" width="2.85546875" style="9" bestFit="1" customWidth="1"/>
    <col min="14613" max="14613" width="2.85546875" style="9" customWidth="1"/>
    <col min="14614" max="14848" width="9" style="9"/>
    <col min="14849" max="14849" width="8.140625" style="9" customWidth="1"/>
    <col min="14850" max="14850" width="13.28515625" style="9" customWidth="1"/>
    <col min="14851" max="14851" width="10.7109375" style="9" customWidth="1"/>
    <col min="14852" max="14852" width="11.28515625" style="9" customWidth="1"/>
    <col min="14853" max="14853" width="0" style="9" hidden="1" customWidth="1"/>
    <col min="14854" max="14855" width="2.85546875" style="9" bestFit="1" customWidth="1"/>
    <col min="14856" max="14856" width="2.85546875" style="9" customWidth="1"/>
    <col min="14857" max="14858" width="2.85546875" style="9" bestFit="1" customWidth="1"/>
    <col min="14859" max="14867" width="2.85546875" style="9" customWidth="1"/>
    <col min="14868" max="14868" width="2.85546875" style="9" bestFit="1" customWidth="1"/>
    <col min="14869" max="14869" width="2.85546875" style="9" customWidth="1"/>
    <col min="14870" max="15104" width="9" style="9"/>
    <col min="15105" max="15105" width="8.140625" style="9" customWidth="1"/>
    <col min="15106" max="15106" width="13.28515625" style="9" customWidth="1"/>
    <col min="15107" max="15107" width="10.7109375" style="9" customWidth="1"/>
    <col min="15108" max="15108" width="11.28515625" style="9" customWidth="1"/>
    <col min="15109" max="15109" width="0" style="9" hidden="1" customWidth="1"/>
    <col min="15110" max="15111" width="2.85546875" style="9" bestFit="1" customWidth="1"/>
    <col min="15112" max="15112" width="2.85546875" style="9" customWidth="1"/>
    <col min="15113" max="15114" width="2.85546875" style="9" bestFit="1" customWidth="1"/>
    <col min="15115" max="15123" width="2.85546875" style="9" customWidth="1"/>
    <col min="15124" max="15124" width="2.85546875" style="9" bestFit="1" customWidth="1"/>
    <col min="15125" max="15125" width="2.85546875" style="9" customWidth="1"/>
    <col min="15126" max="15360" width="9" style="9"/>
    <col min="15361" max="15361" width="8.140625" style="9" customWidth="1"/>
    <col min="15362" max="15362" width="13.28515625" style="9" customWidth="1"/>
    <col min="15363" max="15363" width="10.7109375" style="9" customWidth="1"/>
    <col min="15364" max="15364" width="11.28515625" style="9" customWidth="1"/>
    <col min="15365" max="15365" width="0" style="9" hidden="1" customWidth="1"/>
    <col min="15366" max="15367" width="2.85546875" style="9" bestFit="1" customWidth="1"/>
    <col min="15368" max="15368" width="2.85546875" style="9" customWidth="1"/>
    <col min="15369" max="15370" width="2.85546875" style="9" bestFit="1" customWidth="1"/>
    <col min="15371" max="15379" width="2.85546875" style="9" customWidth="1"/>
    <col min="15380" max="15380" width="2.85546875" style="9" bestFit="1" customWidth="1"/>
    <col min="15381" max="15381" width="2.85546875" style="9" customWidth="1"/>
    <col min="15382" max="15616" width="9" style="9"/>
    <col min="15617" max="15617" width="8.140625" style="9" customWidth="1"/>
    <col min="15618" max="15618" width="13.28515625" style="9" customWidth="1"/>
    <col min="15619" max="15619" width="10.7109375" style="9" customWidth="1"/>
    <col min="15620" max="15620" width="11.28515625" style="9" customWidth="1"/>
    <col min="15621" max="15621" width="0" style="9" hidden="1" customWidth="1"/>
    <col min="15622" max="15623" width="2.85546875" style="9" bestFit="1" customWidth="1"/>
    <col min="15624" max="15624" width="2.85546875" style="9" customWidth="1"/>
    <col min="15625" max="15626" width="2.85546875" style="9" bestFit="1" customWidth="1"/>
    <col min="15627" max="15635" width="2.85546875" style="9" customWidth="1"/>
    <col min="15636" max="15636" width="2.85546875" style="9" bestFit="1" customWidth="1"/>
    <col min="15637" max="15637" width="2.85546875" style="9" customWidth="1"/>
    <col min="15638" max="15872" width="9" style="9"/>
    <col min="15873" max="15873" width="8.140625" style="9" customWidth="1"/>
    <col min="15874" max="15874" width="13.28515625" style="9" customWidth="1"/>
    <col min="15875" max="15875" width="10.7109375" style="9" customWidth="1"/>
    <col min="15876" max="15876" width="11.28515625" style="9" customWidth="1"/>
    <col min="15877" max="15877" width="0" style="9" hidden="1" customWidth="1"/>
    <col min="15878" max="15879" width="2.85546875" style="9" bestFit="1" customWidth="1"/>
    <col min="15880" max="15880" width="2.85546875" style="9" customWidth="1"/>
    <col min="15881" max="15882" width="2.85546875" style="9" bestFit="1" customWidth="1"/>
    <col min="15883" max="15891" width="2.85546875" style="9" customWidth="1"/>
    <col min="15892" max="15892" width="2.85546875" style="9" bestFit="1" customWidth="1"/>
    <col min="15893" max="15893" width="2.85546875" style="9" customWidth="1"/>
    <col min="15894" max="16128" width="9" style="9"/>
    <col min="16129" max="16129" width="8.140625" style="9" customWidth="1"/>
    <col min="16130" max="16130" width="13.28515625" style="9" customWidth="1"/>
    <col min="16131" max="16131" width="10.7109375" style="9" customWidth="1"/>
    <col min="16132" max="16132" width="11.28515625" style="9" customWidth="1"/>
    <col min="16133" max="16133" width="0" style="9" hidden="1" customWidth="1"/>
    <col min="16134" max="16135" width="2.85546875" style="9" bestFit="1" customWidth="1"/>
    <col min="16136" max="16136" width="2.85546875" style="9" customWidth="1"/>
    <col min="16137" max="16138" width="2.85546875" style="9" bestFit="1" customWidth="1"/>
    <col min="16139" max="16147" width="2.85546875" style="9" customWidth="1"/>
    <col min="16148" max="16148" width="2.85546875" style="9" bestFit="1" customWidth="1"/>
    <col min="16149" max="16149" width="2.85546875" style="9" customWidth="1"/>
    <col min="16150" max="16384" width="9" style="9"/>
  </cols>
  <sheetData>
    <row r="1" spans="1:22" ht="13.5" customHeight="1">
      <c r="A1" s="146" t="s">
        <v>6</v>
      </c>
      <c r="B1" s="147"/>
      <c r="C1" s="148" t="s">
        <v>71</v>
      </c>
      <c r="D1" s="149"/>
      <c r="E1" s="150"/>
      <c r="F1" s="151" t="s">
        <v>7</v>
      </c>
      <c r="G1" s="152"/>
      <c r="H1" s="152"/>
      <c r="I1" s="152"/>
      <c r="J1" s="152"/>
      <c r="K1" s="152"/>
      <c r="L1" s="153" t="s">
        <v>71</v>
      </c>
      <c r="M1" s="154"/>
      <c r="N1" s="154"/>
      <c r="O1" s="154"/>
      <c r="P1" s="154"/>
      <c r="Q1" s="154"/>
      <c r="R1" s="154"/>
      <c r="S1" s="154"/>
      <c r="T1" s="155"/>
    </row>
    <row r="2" spans="1:22" ht="13.5" customHeight="1">
      <c r="A2" s="134" t="s">
        <v>8</v>
      </c>
      <c r="B2" s="135"/>
      <c r="C2" s="156" t="s">
        <v>9</v>
      </c>
      <c r="D2" s="157"/>
      <c r="E2" s="158"/>
      <c r="F2" s="138" t="s">
        <v>10</v>
      </c>
      <c r="G2" s="139"/>
      <c r="H2" s="139"/>
      <c r="I2" s="139"/>
      <c r="J2" s="139"/>
      <c r="K2" s="140"/>
      <c r="L2" s="159"/>
      <c r="M2" s="159"/>
      <c r="N2" s="159"/>
      <c r="O2" s="11"/>
      <c r="P2" s="11"/>
      <c r="Q2" s="11"/>
      <c r="R2" s="11"/>
      <c r="S2" s="11"/>
      <c r="T2" s="12"/>
    </row>
    <row r="3" spans="1:22" ht="13.5" customHeight="1">
      <c r="A3" s="134" t="s">
        <v>11</v>
      </c>
      <c r="B3" s="135"/>
      <c r="C3" s="136">
        <v>20</v>
      </c>
      <c r="D3" s="137"/>
      <c r="E3" s="13"/>
      <c r="F3" s="138" t="s">
        <v>12</v>
      </c>
      <c r="G3" s="139"/>
      <c r="H3" s="139"/>
      <c r="I3" s="139"/>
      <c r="J3" s="139"/>
      <c r="K3" s="140"/>
      <c r="L3" s="141">
        <v>0</v>
      </c>
      <c r="M3" s="142"/>
      <c r="N3" s="142"/>
      <c r="O3" s="142"/>
      <c r="P3" s="142"/>
      <c r="Q3" s="142"/>
      <c r="R3" s="142"/>
      <c r="S3" s="142"/>
      <c r="T3" s="143"/>
    </row>
    <row r="4" spans="1:22">
      <c r="A4" s="134" t="s">
        <v>13</v>
      </c>
      <c r="B4" s="135"/>
      <c r="C4" s="144" t="s">
        <v>84</v>
      </c>
      <c r="D4" s="144"/>
      <c r="E4" s="144"/>
      <c r="F4" s="145"/>
      <c r="G4" s="145"/>
      <c r="H4" s="145"/>
      <c r="I4" s="145"/>
      <c r="J4" s="145"/>
      <c r="K4" s="145"/>
      <c r="L4" s="144"/>
      <c r="M4" s="144"/>
      <c r="N4" s="144"/>
      <c r="O4" s="144"/>
      <c r="P4" s="144"/>
      <c r="Q4" s="144"/>
      <c r="R4" s="144"/>
      <c r="S4" s="144"/>
      <c r="T4" s="144"/>
    </row>
    <row r="5" spans="1:22" ht="13.5" customHeight="1">
      <c r="A5" s="119" t="s">
        <v>14</v>
      </c>
      <c r="B5" s="120"/>
      <c r="C5" s="121" t="s">
        <v>15</v>
      </c>
      <c r="D5" s="122"/>
      <c r="E5" s="123"/>
      <c r="F5" s="121" t="s">
        <v>16</v>
      </c>
      <c r="G5" s="122"/>
      <c r="H5" s="122"/>
      <c r="I5" s="122"/>
      <c r="J5" s="122"/>
      <c r="K5" s="124"/>
      <c r="L5" s="122" t="s">
        <v>17</v>
      </c>
      <c r="M5" s="122"/>
      <c r="N5" s="122"/>
      <c r="O5" s="125" t="s">
        <v>18</v>
      </c>
      <c r="P5" s="122"/>
      <c r="Q5" s="122"/>
      <c r="R5" s="122"/>
      <c r="S5" s="122"/>
      <c r="T5" s="126"/>
    </row>
    <row r="6" spans="1:22" ht="13.5" customHeight="1" thickBot="1">
      <c r="A6" s="127">
        <f>COUNTIF(F45:HQ45,"P")</f>
        <v>8</v>
      </c>
      <c r="B6" s="128"/>
      <c r="C6" s="129">
        <f>COUNTIF(F45:HQ45,"F")</f>
        <v>0</v>
      </c>
      <c r="D6" s="130"/>
      <c r="E6" s="128"/>
      <c r="F6" s="129">
        <f>SUM(O6,- A6,M21- C6)</f>
        <v>0</v>
      </c>
      <c r="G6" s="130"/>
      <c r="H6" s="130"/>
      <c r="I6" s="130"/>
      <c r="J6" s="130"/>
      <c r="K6" s="131"/>
      <c r="L6" s="14">
        <f>COUNTIF(E44:HQ44,"N")</f>
        <v>6</v>
      </c>
      <c r="M6" s="14">
        <f>COUNTIF(E44:HQ44,"A")</f>
        <v>2</v>
      </c>
      <c r="N6" s="14">
        <f>COUNTIF(E44:HQ44,"B")</f>
        <v>0</v>
      </c>
      <c r="O6" s="132">
        <v>8</v>
      </c>
      <c r="P6" s="130"/>
      <c r="Q6" s="130"/>
      <c r="R6" s="130"/>
      <c r="S6" s="130"/>
      <c r="T6" s="133"/>
      <c r="U6" s="15"/>
    </row>
    <row r="7" spans="1:22" ht="11.25" thickBot="1"/>
    <row r="8" spans="1:22" ht="46.5" customHeight="1" thickBot="1">
      <c r="A8" s="111"/>
      <c r="B8" s="112"/>
      <c r="C8" s="112"/>
      <c r="D8" s="112"/>
      <c r="E8" s="18"/>
      <c r="F8" s="19" t="s">
        <v>19</v>
      </c>
      <c r="G8" s="19" t="s">
        <v>20</v>
      </c>
      <c r="H8" s="19" t="s">
        <v>21</v>
      </c>
      <c r="I8" s="19" t="s">
        <v>69</v>
      </c>
      <c r="J8" s="19" t="s">
        <v>70</v>
      </c>
      <c r="K8" s="19" t="s">
        <v>78</v>
      </c>
      <c r="L8" s="19" t="s">
        <v>79</v>
      </c>
      <c r="M8" s="19" t="s">
        <v>80</v>
      </c>
      <c r="N8" s="20"/>
      <c r="O8" s="20"/>
      <c r="P8" s="20"/>
      <c r="Q8" s="20"/>
      <c r="R8" s="20"/>
      <c r="S8" s="20"/>
      <c r="T8" s="21"/>
      <c r="U8" s="7"/>
      <c r="V8" s="22"/>
    </row>
    <row r="9" spans="1:22" ht="13.5" customHeight="1">
      <c r="A9" s="23" t="s">
        <v>22</v>
      </c>
      <c r="B9" s="24" t="s">
        <v>23</v>
      </c>
      <c r="C9" s="25"/>
      <c r="D9" s="26"/>
      <c r="E9" s="95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8"/>
    </row>
    <row r="10" spans="1:22" ht="13.5" customHeight="1">
      <c r="A10" s="29"/>
      <c r="B10" s="30"/>
      <c r="C10" s="31"/>
      <c r="D10" s="32" t="s">
        <v>24</v>
      </c>
      <c r="E10" s="96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4"/>
      <c r="V10" s="22"/>
    </row>
    <row r="11" spans="1:22" ht="13.5" customHeight="1">
      <c r="A11" s="29"/>
      <c r="B11" s="30" t="s">
        <v>25</v>
      </c>
      <c r="C11" s="31"/>
      <c r="D11" s="32"/>
      <c r="E11" s="35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4"/>
    </row>
    <row r="12" spans="1:22" ht="15.6" customHeight="1">
      <c r="A12" s="29"/>
      <c r="B12" s="36" t="s">
        <v>72</v>
      </c>
      <c r="C12" s="31"/>
      <c r="D12" s="32"/>
      <c r="E12" s="97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4"/>
    </row>
    <row r="13" spans="1:22" ht="13.5" customHeight="1">
      <c r="A13" s="29"/>
      <c r="B13" s="30"/>
      <c r="C13" s="31"/>
      <c r="D13" s="32">
        <v>50</v>
      </c>
      <c r="E13" s="97"/>
      <c r="F13" s="33" t="s">
        <v>26</v>
      </c>
      <c r="G13" s="33" t="s">
        <v>26</v>
      </c>
      <c r="H13" s="33"/>
      <c r="I13" s="33"/>
      <c r="J13" s="33" t="s">
        <v>26</v>
      </c>
      <c r="K13" s="33"/>
      <c r="L13" s="33"/>
      <c r="M13" s="33" t="s">
        <v>26</v>
      </c>
      <c r="N13" s="33"/>
      <c r="O13" s="33"/>
      <c r="P13" s="33"/>
      <c r="Q13" s="33"/>
      <c r="R13" s="33"/>
      <c r="S13" s="33"/>
      <c r="T13" s="34"/>
    </row>
    <row r="14" spans="1:22" ht="13.5" customHeight="1">
      <c r="A14" s="29"/>
      <c r="B14" s="30"/>
      <c r="C14" s="31"/>
      <c r="D14" s="32">
        <v>40</v>
      </c>
      <c r="E14" s="97"/>
      <c r="F14" s="33"/>
      <c r="G14" s="33"/>
      <c r="H14" s="33" t="s">
        <v>26</v>
      </c>
      <c r="I14" s="33" t="s">
        <v>26</v>
      </c>
      <c r="J14" s="37"/>
      <c r="K14" s="73"/>
      <c r="L14" s="73"/>
      <c r="M14" s="33"/>
      <c r="N14" s="33"/>
      <c r="O14" s="33"/>
      <c r="P14" s="33"/>
      <c r="Q14" s="33"/>
      <c r="R14" s="33"/>
      <c r="S14" s="33"/>
      <c r="T14" s="34"/>
    </row>
    <row r="15" spans="1:22" ht="13.5" customHeight="1">
      <c r="A15" s="29"/>
      <c r="B15" s="30"/>
      <c r="C15" s="31"/>
      <c r="D15" s="32">
        <v>25</v>
      </c>
      <c r="E15" s="97"/>
      <c r="F15" s="33"/>
      <c r="G15" s="33"/>
      <c r="H15" s="33"/>
      <c r="I15" s="33"/>
      <c r="J15" s="33"/>
      <c r="K15" s="33" t="s">
        <v>26</v>
      </c>
      <c r="L15" s="33" t="s">
        <v>26</v>
      </c>
      <c r="M15" s="33"/>
      <c r="N15" s="33"/>
      <c r="O15" s="33"/>
      <c r="P15" s="33"/>
      <c r="Q15" s="33"/>
      <c r="R15" s="33"/>
      <c r="S15" s="33"/>
      <c r="T15" s="34"/>
    </row>
    <row r="16" spans="1:22" ht="13.5" customHeight="1">
      <c r="A16" s="29"/>
      <c r="B16" s="36" t="s">
        <v>73</v>
      </c>
      <c r="C16" s="31"/>
      <c r="D16" s="32"/>
      <c r="E16" s="97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4"/>
      <c r="U16" s="38"/>
    </row>
    <row r="17" spans="1:21" ht="13.5" customHeight="1">
      <c r="A17" s="29"/>
      <c r="B17" s="36"/>
      <c r="C17" s="31"/>
      <c r="D17" s="165" t="s">
        <v>27</v>
      </c>
      <c r="E17" s="97"/>
      <c r="F17" s="33"/>
      <c r="G17" s="33"/>
      <c r="H17" s="33"/>
      <c r="I17" s="33"/>
      <c r="J17" s="33" t="s">
        <v>26</v>
      </c>
      <c r="K17" s="33"/>
      <c r="L17" s="33"/>
      <c r="M17" s="33"/>
      <c r="N17" s="33"/>
      <c r="O17" s="33"/>
      <c r="P17" s="33"/>
      <c r="Q17" s="33"/>
      <c r="R17" s="33"/>
      <c r="S17" s="33"/>
      <c r="T17" s="34"/>
      <c r="U17" s="38"/>
    </row>
    <row r="18" spans="1:21" ht="13.5" customHeight="1">
      <c r="A18" s="29"/>
      <c r="B18" s="30"/>
      <c r="C18" s="31"/>
      <c r="D18" s="113" t="s">
        <v>76</v>
      </c>
      <c r="E18" s="114"/>
      <c r="F18" s="33" t="s">
        <v>26</v>
      </c>
      <c r="G18" s="33"/>
      <c r="H18" s="33" t="s">
        <v>26</v>
      </c>
      <c r="I18" s="33"/>
      <c r="J18" s="33"/>
      <c r="K18" s="33" t="s">
        <v>26</v>
      </c>
      <c r="L18" s="33"/>
      <c r="M18" s="33" t="s">
        <v>26</v>
      </c>
      <c r="N18" s="33"/>
      <c r="O18" s="33"/>
      <c r="P18" s="33"/>
      <c r="Q18" s="33"/>
      <c r="R18" s="33"/>
      <c r="S18" s="33"/>
      <c r="T18" s="34"/>
    </row>
    <row r="19" spans="1:21" ht="13.5" customHeight="1">
      <c r="A19" s="29"/>
      <c r="B19" s="30"/>
      <c r="C19" s="31"/>
      <c r="D19" s="115" t="s">
        <v>77</v>
      </c>
      <c r="E19" s="116"/>
      <c r="F19" s="33"/>
      <c r="G19" s="33" t="s">
        <v>26</v>
      </c>
      <c r="H19" s="33"/>
      <c r="I19" s="33" t="s">
        <v>26</v>
      </c>
      <c r="J19" s="33"/>
      <c r="K19" s="33"/>
      <c r="L19" s="33" t="s">
        <v>26</v>
      </c>
      <c r="M19" s="33"/>
      <c r="N19" s="33"/>
      <c r="O19" s="33"/>
      <c r="P19" s="33"/>
      <c r="Q19" s="33"/>
      <c r="R19" s="33"/>
      <c r="S19" s="33"/>
      <c r="T19" s="34"/>
    </row>
    <row r="20" spans="1:21" ht="13.5" customHeight="1">
      <c r="A20" s="29"/>
      <c r="B20" s="36" t="s">
        <v>74</v>
      </c>
      <c r="C20" s="31"/>
      <c r="D20" s="117"/>
      <c r="E20" s="118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4"/>
    </row>
    <row r="21" spans="1:21" ht="13.5" customHeight="1">
      <c r="A21" s="29"/>
      <c r="C21" s="31"/>
      <c r="D21" s="32">
        <v>1000000</v>
      </c>
      <c r="E21" s="97"/>
      <c r="F21" s="33" t="s">
        <v>26</v>
      </c>
      <c r="G21" s="33" t="s">
        <v>26</v>
      </c>
      <c r="H21" s="33" t="s">
        <v>26</v>
      </c>
      <c r="I21" s="33" t="s">
        <v>26</v>
      </c>
      <c r="J21" s="33" t="s">
        <v>26</v>
      </c>
      <c r="K21" s="33" t="s">
        <v>26</v>
      </c>
      <c r="L21" s="33" t="s">
        <v>26</v>
      </c>
      <c r="M21" s="33"/>
      <c r="N21" s="33"/>
      <c r="O21" s="33"/>
      <c r="P21" s="33"/>
      <c r="Q21" s="33"/>
      <c r="R21" s="33"/>
      <c r="S21" s="33"/>
      <c r="T21" s="34"/>
    </row>
    <row r="22" spans="1:21" ht="13.5" customHeight="1">
      <c r="A22" s="29"/>
      <c r="B22" s="30"/>
      <c r="C22" s="31"/>
      <c r="D22" s="113">
        <v>-1000000</v>
      </c>
      <c r="E22" s="114"/>
      <c r="F22" s="33"/>
      <c r="G22" s="33"/>
      <c r="H22" s="33"/>
      <c r="I22" s="33"/>
      <c r="J22" s="33"/>
      <c r="K22" s="33"/>
      <c r="L22" s="33"/>
      <c r="M22" s="33" t="s">
        <v>26</v>
      </c>
      <c r="N22" s="33"/>
      <c r="O22" s="33"/>
      <c r="P22" s="33"/>
      <c r="Q22" s="33"/>
      <c r="R22" s="33"/>
      <c r="S22" s="33"/>
      <c r="T22" s="34"/>
    </row>
    <row r="23" spans="1:21" ht="13.5" customHeight="1">
      <c r="A23" s="29"/>
      <c r="B23" s="36" t="s">
        <v>75</v>
      </c>
      <c r="C23" s="31"/>
      <c r="D23" s="113"/>
      <c r="E23" s="114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4"/>
    </row>
    <row r="24" spans="1:21" ht="13.5" customHeight="1">
      <c r="A24" s="29"/>
      <c r="B24" s="30"/>
      <c r="C24" s="31"/>
      <c r="D24" s="40">
        <v>500</v>
      </c>
      <c r="E24" s="97"/>
      <c r="F24" s="33" t="s">
        <v>26</v>
      </c>
      <c r="G24" s="33" t="s">
        <v>26</v>
      </c>
      <c r="H24" s="33" t="s">
        <v>26</v>
      </c>
      <c r="I24" s="33" t="s">
        <v>26</v>
      </c>
      <c r="J24" s="33" t="s">
        <v>26</v>
      </c>
      <c r="K24" s="33" t="s">
        <v>26</v>
      </c>
      <c r="L24" s="33" t="s">
        <v>26</v>
      </c>
      <c r="M24" s="33" t="s">
        <v>26</v>
      </c>
      <c r="N24" s="33"/>
      <c r="O24" s="33"/>
      <c r="P24" s="33"/>
      <c r="Q24" s="33"/>
      <c r="R24" s="33"/>
      <c r="S24" s="33"/>
      <c r="T24" s="34"/>
    </row>
    <row r="25" spans="1:21" ht="13.5" customHeight="1">
      <c r="A25" s="29"/>
      <c r="C25" s="31"/>
      <c r="D25" s="41"/>
      <c r="E25" s="98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4"/>
    </row>
    <row r="26" spans="1:21" ht="13.5" customHeight="1">
      <c r="A26" s="29"/>
      <c r="B26" s="30"/>
      <c r="C26" s="31"/>
      <c r="D26" s="41"/>
      <c r="E26" s="98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4"/>
    </row>
    <row r="27" spans="1:21" ht="13.5" customHeight="1">
      <c r="A27" s="29"/>
      <c r="B27" s="30"/>
      <c r="C27" s="31"/>
      <c r="D27" s="41"/>
      <c r="E27" s="98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4"/>
    </row>
    <row r="28" spans="1:21" ht="13.5" customHeight="1">
      <c r="A28" s="29"/>
      <c r="B28" s="42"/>
      <c r="C28" s="31"/>
      <c r="D28" s="41"/>
      <c r="E28" s="98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4"/>
    </row>
    <row r="29" spans="1:21" ht="13.5" customHeight="1" thickBot="1">
      <c r="A29" s="43"/>
      <c r="B29" s="44"/>
      <c r="C29" s="45"/>
      <c r="D29" s="46"/>
      <c r="E29" s="98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8"/>
    </row>
    <row r="30" spans="1:21" ht="13.5" customHeight="1">
      <c r="A30" s="49" t="s">
        <v>28</v>
      </c>
      <c r="B30" s="50" t="s">
        <v>29</v>
      </c>
      <c r="C30" s="51"/>
      <c r="D30" s="52"/>
      <c r="E30" s="99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4"/>
    </row>
    <row r="31" spans="1:21" ht="13.5" customHeight="1">
      <c r="A31" s="55"/>
      <c r="B31" s="166"/>
      <c r="C31" s="167"/>
      <c r="D31" s="164" t="s">
        <v>81</v>
      </c>
      <c r="E31" s="168"/>
      <c r="F31" s="27"/>
      <c r="G31" s="27"/>
      <c r="H31" s="27"/>
      <c r="I31" s="27"/>
      <c r="J31" s="27"/>
      <c r="K31" s="27"/>
      <c r="L31" s="27"/>
      <c r="M31" s="33" t="s">
        <v>26</v>
      </c>
      <c r="N31" s="27"/>
      <c r="O31" s="27"/>
      <c r="P31" s="27"/>
      <c r="Q31" s="27"/>
      <c r="R31" s="27"/>
      <c r="S31" s="27"/>
      <c r="T31" s="28"/>
    </row>
    <row r="32" spans="1:21" ht="13.5" customHeight="1">
      <c r="A32" s="55"/>
      <c r="B32" s="56"/>
      <c r="C32" s="57"/>
      <c r="D32" s="58" t="s">
        <v>27</v>
      </c>
      <c r="E32" s="100"/>
      <c r="F32" s="33"/>
      <c r="G32" s="33"/>
      <c r="H32" s="33"/>
      <c r="I32" s="33"/>
      <c r="J32" s="33" t="s">
        <v>26</v>
      </c>
      <c r="K32" s="33"/>
      <c r="L32" s="33"/>
      <c r="M32" s="33"/>
      <c r="N32" s="33"/>
      <c r="O32" s="33"/>
      <c r="P32" s="33"/>
      <c r="Q32" s="33"/>
      <c r="R32" s="33"/>
      <c r="S32" s="33"/>
      <c r="T32" s="34"/>
    </row>
    <row r="33" spans="1:20" ht="13.5" customHeight="1">
      <c r="A33" s="55"/>
      <c r="B33" s="56"/>
      <c r="C33" s="59"/>
      <c r="D33" s="58">
        <v>0.2</v>
      </c>
      <c r="E33" s="101"/>
      <c r="F33" s="33"/>
      <c r="G33" s="33"/>
      <c r="H33" s="73"/>
      <c r="I33" s="33"/>
      <c r="J33" s="33"/>
      <c r="K33" s="33"/>
      <c r="L33" s="33" t="s">
        <v>26</v>
      </c>
      <c r="M33" s="33"/>
      <c r="N33" s="33"/>
      <c r="O33" s="33"/>
      <c r="P33" s="33"/>
      <c r="Q33" s="33"/>
      <c r="R33" s="33"/>
      <c r="S33" s="33"/>
      <c r="T33" s="34"/>
    </row>
    <row r="34" spans="1:20" ht="13.5" customHeight="1">
      <c r="A34" s="55"/>
      <c r="B34" s="56"/>
      <c r="C34" s="59"/>
      <c r="D34" s="58">
        <v>0.22</v>
      </c>
      <c r="E34" s="101"/>
      <c r="F34" s="33"/>
      <c r="G34" s="33"/>
      <c r="H34" s="73"/>
      <c r="I34" s="33"/>
      <c r="J34" s="33"/>
      <c r="K34" s="33" t="s">
        <v>26</v>
      </c>
      <c r="L34" s="33"/>
      <c r="M34" s="33"/>
      <c r="N34" s="33"/>
      <c r="O34" s="33"/>
      <c r="P34" s="33"/>
      <c r="Q34" s="33"/>
      <c r="R34" s="33"/>
      <c r="S34" s="33"/>
      <c r="T34" s="34"/>
    </row>
    <row r="35" spans="1:20" ht="13.5" customHeight="1">
      <c r="A35" s="55"/>
      <c r="B35" s="56"/>
      <c r="C35" s="59"/>
      <c r="D35" s="163">
        <v>0.28000000000000003</v>
      </c>
      <c r="E35" s="101"/>
      <c r="F35" s="33"/>
      <c r="G35" s="33"/>
      <c r="H35" s="73"/>
      <c r="I35" s="33" t="s">
        <v>26</v>
      </c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4"/>
    </row>
    <row r="36" spans="1:20" ht="13.5" customHeight="1">
      <c r="A36" s="55"/>
      <c r="B36" s="56"/>
      <c r="C36" s="59"/>
      <c r="D36" s="58">
        <v>0.3</v>
      </c>
      <c r="E36" s="101"/>
      <c r="F36" s="33"/>
      <c r="G36" s="33"/>
      <c r="H36" s="33" t="s">
        <v>26</v>
      </c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4"/>
    </row>
    <row r="37" spans="1:20" ht="13.5" customHeight="1">
      <c r="A37" s="55"/>
      <c r="B37" s="56"/>
      <c r="C37" s="59"/>
      <c r="D37" s="164">
        <v>0.35</v>
      </c>
      <c r="E37" s="101"/>
      <c r="F37" s="33"/>
      <c r="G37" s="33" t="s">
        <v>26</v>
      </c>
      <c r="H37" s="7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4"/>
    </row>
    <row r="38" spans="1:20" ht="13.5" customHeight="1">
      <c r="A38" s="55"/>
      <c r="B38" s="56"/>
      <c r="C38" s="59"/>
      <c r="D38" s="39">
        <v>0.4</v>
      </c>
      <c r="E38" s="101"/>
      <c r="F38" s="33" t="s">
        <v>26</v>
      </c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4"/>
    </row>
    <row r="39" spans="1:20" ht="13.5" customHeight="1">
      <c r="A39" s="55"/>
      <c r="B39" s="56" t="s">
        <v>30</v>
      </c>
      <c r="C39" s="59"/>
      <c r="D39" s="60"/>
      <c r="E39" s="101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4"/>
    </row>
    <row r="40" spans="1:20" ht="13.5" customHeight="1">
      <c r="A40" s="55"/>
      <c r="B40" s="56"/>
      <c r="C40" s="59"/>
      <c r="D40" s="60"/>
      <c r="E40" s="101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4"/>
    </row>
    <row r="41" spans="1:20" ht="13.5" customHeight="1">
      <c r="A41" s="55"/>
      <c r="B41" s="56" t="s">
        <v>31</v>
      </c>
      <c r="C41" s="59"/>
      <c r="D41" s="60"/>
      <c r="E41" s="101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4"/>
    </row>
    <row r="42" spans="1:20" ht="13.5" customHeight="1">
      <c r="A42" s="55"/>
      <c r="B42" s="56"/>
      <c r="C42" s="59"/>
      <c r="D42" s="58" t="s">
        <v>82</v>
      </c>
      <c r="E42" s="101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4"/>
    </row>
    <row r="43" spans="1:20" ht="13.5" customHeight="1" thickBot="1">
      <c r="A43" s="61"/>
      <c r="B43" s="62"/>
      <c r="C43" s="63"/>
      <c r="D43" s="64"/>
      <c r="E43" s="102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6"/>
    </row>
    <row r="44" spans="1:20" ht="13.5" customHeight="1">
      <c r="A44" s="55" t="s">
        <v>32</v>
      </c>
      <c r="B44" s="103" t="s">
        <v>33</v>
      </c>
      <c r="C44" s="104"/>
      <c r="D44" s="104"/>
      <c r="E44" s="67"/>
      <c r="F44" s="68" t="s">
        <v>34</v>
      </c>
      <c r="G44" s="68" t="s">
        <v>34</v>
      </c>
      <c r="H44" s="68" t="s">
        <v>34</v>
      </c>
      <c r="I44" s="68" t="s">
        <v>34</v>
      </c>
      <c r="J44" s="68" t="s">
        <v>83</v>
      </c>
      <c r="K44" s="68" t="s">
        <v>34</v>
      </c>
      <c r="L44" s="68" t="s">
        <v>34</v>
      </c>
      <c r="M44" s="68" t="s">
        <v>83</v>
      </c>
      <c r="N44" s="68"/>
      <c r="O44" s="68"/>
      <c r="P44" s="68"/>
      <c r="Q44" s="68"/>
      <c r="R44" s="68"/>
      <c r="S44" s="68"/>
      <c r="T44" s="69"/>
    </row>
    <row r="45" spans="1:20" ht="13.5" customHeight="1">
      <c r="A45" s="55"/>
      <c r="B45" s="105" t="s">
        <v>35</v>
      </c>
      <c r="C45" s="106"/>
      <c r="D45" s="106"/>
      <c r="E45" s="70"/>
      <c r="F45" s="71" t="s">
        <v>86</v>
      </c>
      <c r="G45" s="71" t="s">
        <v>86</v>
      </c>
      <c r="H45" s="71" t="s">
        <v>86</v>
      </c>
      <c r="I45" s="71" t="s">
        <v>86</v>
      </c>
      <c r="J45" s="71" t="s">
        <v>86</v>
      </c>
      <c r="K45" s="71" t="s">
        <v>86</v>
      </c>
      <c r="L45" s="71" t="s">
        <v>86</v>
      </c>
      <c r="M45" s="71" t="s">
        <v>86</v>
      </c>
      <c r="N45" s="71"/>
      <c r="O45" s="71"/>
      <c r="P45" s="71"/>
      <c r="Q45" s="71"/>
      <c r="R45" s="71"/>
      <c r="S45" s="71"/>
      <c r="T45" s="72"/>
    </row>
    <row r="46" spans="1:20" ht="13.5" customHeight="1">
      <c r="A46" s="55"/>
      <c r="B46" s="107" t="s">
        <v>36</v>
      </c>
      <c r="C46" s="108"/>
      <c r="D46" s="108"/>
      <c r="E46" s="73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5"/>
    </row>
    <row r="47" spans="1:20" ht="11.25" thickBot="1">
      <c r="A47" s="61"/>
      <c r="B47" s="109" t="s">
        <v>37</v>
      </c>
      <c r="C47" s="110"/>
      <c r="D47" s="110"/>
      <c r="E47" s="76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8"/>
    </row>
    <row r="48" spans="1:20">
      <c r="A48" s="79"/>
    </row>
    <row r="51" spans="1:40">
      <c r="A51" s="7" t="s">
        <v>4</v>
      </c>
      <c r="B51" s="8" t="s">
        <v>5</v>
      </c>
    </row>
    <row r="52" spans="1:40" ht="60.75" customHeight="1">
      <c r="B52" s="80" t="s">
        <v>38</v>
      </c>
      <c r="C52" s="81"/>
      <c r="W52" s="169" t="s">
        <v>85</v>
      </c>
      <c r="X52" s="169"/>
      <c r="Y52" s="169"/>
      <c r="Z52" s="169"/>
      <c r="AA52" s="169"/>
      <c r="AB52" s="169"/>
      <c r="AC52" s="169"/>
      <c r="AD52" s="169"/>
      <c r="AE52" s="169"/>
      <c r="AF52" s="169"/>
      <c r="AG52" s="169"/>
      <c r="AH52" s="169"/>
      <c r="AI52" s="169"/>
      <c r="AJ52" s="169"/>
      <c r="AK52" s="169"/>
      <c r="AL52" s="169"/>
      <c r="AM52" s="169"/>
      <c r="AN52" s="169"/>
    </row>
  </sheetData>
  <mergeCells count="34">
    <mergeCell ref="W52:AN52"/>
    <mergeCell ref="A1:B1"/>
    <mergeCell ref="C1:E1"/>
    <mergeCell ref="F1:K1"/>
    <mergeCell ref="L1:T1"/>
    <mergeCell ref="A2:B2"/>
    <mergeCell ref="C2:E2"/>
    <mergeCell ref="F2:K2"/>
    <mergeCell ref="L2:N2"/>
    <mergeCell ref="A6:B6"/>
    <mergeCell ref="C6:E6"/>
    <mergeCell ref="F6:K6"/>
    <mergeCell ref="O6:T6"/>
    <mergeCell ref="A3:B3"/>
    <mergeCell ref="C3:D3"/>
    <mergeCell ref="F3:K3"/>
    <mergeCell ref="L3:T3"/>
    <mergeCell ref="A4:B4"/>
    <mergeCell ref="C4:T4"/>
    <mergeCell ref="A5:B5"/>
    <mergeCell ref="C5:E5"/>
    <mergeCell ref="F5:K5"/>
    <mergeCell ref="L5:N5"/>
    <mergeCell ref="O5:T5"/>
    <mergeCell ref="B44:D44"/>
    <mergeCell ref="B45:D45"/>
    <mergeCell ref="B46:D46"/>
    <mergeCell ref="B47:D47"/>
    <mergeCell ref="A8:D8"/>
    <mergeCell ref="D18:E18"/>
    <mergeCell ref="D19:E19"/>
    <mergeCell ref="D20:E20"/>
    <mergeCell ref="D22:E22"/>
    <mergeCell ref="D23:E23"/>
  </mergeCells>
  <phoneticPr fontId="30" type="noConversion"/>
  <dataValidations count="3">
    <dataValidation type="list" allowBlank="1" showInputMessage="1" showErrorMessage="1" sqref="WVN983084:WWB983084 JB44:JP44 SX44:TL44 ACT44:ADH44 AMP44:AND44 AWL44:AWZ44 BGH44:BGV44 BQD44:BQR44 BZZ44:CAN44 CJV44:CKJ44 CTR44:CUF44 DDN44:DEB44 DNJ44:DNX44 DXF44:DXT44 EHB44:EHP44 EQX44:ERL44 FAT44:FBH44 FKP44:FLD44 FUL44:FUZ44 GEH44:GEV44 GOD44:GOR44 GXZ44:GYN44 HHV44:HIJ44 HRR44:HSF44 IBN44:ICB44 ILJ44:ILX44 IVF44:IVT44 JFB44:JFP44 JOX44:JPL44 JYT44:JZH44 KIP44:KJD44 KSL44:KSZ44 LCH44:LCV44 LMD44:LMR44 LVZ44:LWN44 MFV44:MGJ44 MPR44:MQF44 MZN44:NAB44 NJJ44:NJX44 NTF44:NTT44 ODB44:ODP44 OMX44:ONL44 OWT44:OXH44 PGP44:PHD44 PQL44:PQZ44 QAH44:QAV44 QKD44:QKR44 QTZ44:QUN44 RDV44:REJ44 RNR44:ROF44 RXN44:RYB44 SHJ44:SHX44 SRF44:SRT44 TBB44:TBP44 TKX44:TLL44 TUT44:TVH44 UEP44:UFD44 UOL44:UOZ44 UYH44:UYV44 VID44:VIR44 VRZ44:VSN44 WBV44:WCJ44 WLR44:WMF44 WVN44:WWB44 F65580:T65580 JB65580:JP65580 SX65580:TL65580 ACT65580:ADH65580 AMP65580:AND65580 AWL65580:AWZ65580 BGH65580:BGV65580 BQD65580:BQR65580 BZZ65580:CAN65580 CJV65580:CKJ65580 CTR65580:CUF65580 DDN65580:DEB65580 DNJ65580:DNX65580 DXF65580:DXT65580 EHB65580:EHP65580 EQX65580:ERL65580 FAT65580:FBH65580 FKP65580:FLD65580 FUL65580:FUZ65580 GEH65580:GEV65580 GOD65580:GOR65580 GXZ65580:GYN65580 HHV65580:HIJ65580 HRR65580:HSF65580 IBN65580:ICB65580 ILJ65580:ILX65580 IVF65580:IVT65580 JFB65580:JFP65580 JOX65580:JPL65580 JYT65580:JZH65580 KIP65580:KJD65580 KSL65580:KSZ65580 LCH65580:LCV65580 LMD65580:LMR65580 LVZ65580:LWN65580 MFV65580:MGJ65580 MPR65580:MQF65580 MZN65580:NAB65580 NJJ65580:NJX65580 NTF65580:NTT65580 ODB65580:ODP65580 OMX65580:ONL65580 OWT65580:OXH65580 PGP65580:PHD65580 PQL65580:PQZ65580 QAH65580:QAV65580 QKD65580:QKR65580 QTZ65580:QUN65580 RDV65580:REJ65580 RNR65580:ROF65580 RXN65580:RYB65580 SHJ65580:SHX65580 SRF65580:SRT65580 TBB65580:TBP65580 TKX65580:TLL65580 TUT65580:TVH65580 UEP65580:UFD65580 UOL65580:UOZ65580 UYH65580:UYV65580 VID65580:VIR65580 VRZ65580:VSN65580 WBV65580:WCJ65580 WLR65580:WMF65580 WVN65580:WWB65580 F131116:T131116 JB131116:JP131116 SX131116:TL131116 ACT131116:ADH131116 AMP131116:AND131116 AWL131116:AWZ131116 BGH131116:BGV131116 BQD131116:BQR131116 BZZ131116:CAN131116 CJV131116:CKJ131116 CTR131116:CUF131116 DDN131116:DEB131116 DNJ131116:DNX131116 DXF131116:DXT131116 EHB131116:EHP131116 EQX131116:ERL131116 FAT131116:FBH131116 FKP131116:FLD131116 FUL131116:FUZ131116 GEH131116:GEV131116 GOD131116:GOR131116 GXZ131116:GYN131116 HHV131116:HIJ131116 HRR131116:HSF131116 IBN131116:ICB131116 ILJ131116:ILX131116 IVF131116:IVT131116 JFB131116:JFP131116 JOX131116:JPL131116 JYT131116:JZH131116 KIP131116:KJD131116 KSL131116:KSZ131116 LCH131116:LCV131116 LMD131116:LMR131116 LVZ131116:LWN131116 MFV131116:MGJ131116 MPR131116:MQF131116 MZN131116:NAB131116 NJJ131116:NJX131116 NTF131116:NTT131116 ODB131116:ODP131116 OMX131116:ONL131116 OWT131116:OXH131116 PGP131116:PHD131116 PQL131116:PQZ131116 QAH131116:QAV131116 QKD131116:QKR131116 QTZ131116:QUN131116 RDV131116:REJ131116 RNR131116:ROF131116 RXN131116:RYB131116 SHJ131116:SHX131116 SRF131116:SRT131116 TBB131116:TBP131116 TKX131116:TLL131116 TUT131116:TVH131116 UEP131116:UFD131116 UOL131116:UOZ131116 UYH131116:UYV131116 VID131116:VIR131116 VRZ131116:VSN131116 WBV131116:WCJ131116 WLR131116:WMF131116 WVN131116:WWB131116 F196652:T196652 JB196652:JP196652 SX196652:TL196652 ACT196652:ADH196652 AMP196652:AND196652 AWL196652:AWZ196652 BGH196652:BGV196652 BQD196652:BQR196652 BZZ196652:CAN196652 CJV196652:CKJ196652 CTR196652:CUF196652 DDN196652:DEB196652 DNJ196652:DNX196652 DXF196652:DXT196652 EHB196652:EHP196652 EQX196652:ERL196652 FAT196652:FBH196652 FKP196652:FLD196652 FUL196652:FUZ196652 GEH196652:GEV196652 GOD196652:GOR196652 GXZ196652:GYN196652 HHV196652:HIJ196652 HRR196652:HSF196652 IBN196652:ICB196652 ILJ196652:ILX196652 IVF196652:IVT196652 JFB196652:JFP196652 JOX196652:JPL196652 JYT196652:JZH196652 KIP196652:KJD196652 KSL196652:KSZ196652 LCH196652:LCV196652 LMD196652:LMR196652 LVZ196652:LWN196652 MFV196652:MGJ196652 MPR196652:MQF196652 MZN196652:NAB196652 NJJ196652:NJX196652 NTF196652:NTT196652 ODB196652:ODP196652 OMX196652:ONL196652 OWT196652:OXH196652 PGP196652:PHD196652 PQL196652:PQZ196652 QAH196652:QAV196652 QKD196652:QKR196652 QTZ196652:QUN196652 RDV196652:REJ196652 RNR196652:ROF196652 RXN196652:RYB196652 SHJ196652:SHX196652 SRF196652:SRT196652 TBB196652:TBP196652 TKX196652:TLL196652 TUT196652:TVH196652 UEP196652:UFD196652 UOL196652:UOZ196652 UYH196652:UYV196652 VID196652:VIR196652 VRZ196652:VSN196652 WBV196652:WCJ196652 WLR196652:WMF196652 WVN196652:WWB196652 F262188:T262188 JB262188:JP262188 SX262188:TL262188 ACT262188:ADH262188 AMP262188:AND262188 AWL262188:AWZ262188 BGH262188:BGV262188 BQD262188:BQR262188 BZZ262188:CAN262188 CJV262188:CKJ262188 CTR262188:CUF262188 DDN262188:DEB262188 DNJ262188:DNX262188 DXF262188:DXT262188 EHB262188:EHP262188 EQX262188:ERL262188 FAT262188:FBH262188 FKP262188:FLD262188 FUL262188:FUZ262188 GEH262188:GEV262188 GOD262188:GOR262188 GXZ262188:GYN262188 HHV262188:HIJ262188 HRR262188:HSF262188 IBN262188:ICB262188 ILJ262188:ILX262188 IVF262188:IVT262188 JFB262188:JFP262188 JOX262188:JPL262188 JYT262188:JZH262188 KIP262188:KJD262188 KSL262188:KSZ262188 LCH262188:LCV262188 LMD262188:LMR262188 LVZ262188:LWN262188 MFV262188:MGJ262188 MPR262188:MQF262188 MZN262188:NAB262188 NJJ262188:NJX262188 NTF262188:NTT262188 ODB262188:ODP262188 OMX262188:ONL262188 OWT262188:OXH262188 PGP262188:PHD262188 PQL262188:PQZ262188 QAH262188:QAV262188 QKD262188:QKR262188 QTZ262188:QUN262188 RDV262188:REJ262188 RNR262188:ROF262188 RXN262188:RYB262188 SHJ262188:SHX262188 SRF262188:SRT262188 TBB262188:TBP262188 TKX262188:TLL262188 TUT262188:TVH262188 UEP262188:UFD262188 UOL262188:UOZ262188 UYH262188:UYV262188 VID262188:VIR262188 VRZ262188:VSN262188 WBV262188:WCJ262188 WLR262188:WMF262188 WVN262188:WWB262188 F327724:T327724 JB327724:JP327724 SX327724:TL327724 ACT327724:ADH327724 AMP327724:AND327724 AWL327724:AWZ327724 BGH327724:BGV327724 BQD327724:BQR327724 BZZ327724:CAN327724 CJV327724:CKJ327724 CTR327724:CUF327724 DDN327724:DEB327724 DNJ327724:DNX327724 DXF327724:DXT327724 EHB327724:EHP327724 EQX327724:ERL327724 FAT327724:FBH327724 FKP327724:FLD327724 FUL327724:FUZ327724 GEH327724:GEV327724 GOD327724:GOR327724 GXZ327724:GYN327724 HHV327724:HIJ327724 HRR327724:HSF327724 IBN327724:ICB327724 ILJ327724:ILX327724 IVF327724:IVT327724 JFB327724:JFP327724 JOX327724:JPL327724 JYT327724:JZH327724 KIP327724:KJD327724 KSL327724:KSZ327724 LCH327724:LCV327724 LMD327724:LMR327724 LVZ327724:LWN327724 MFV327724:MGJ327724 MPR327724:MQF327724 MZN327724:NAB327724 NJJ327724:NJX327724 NTF327724:NTT327724 ODB327724:ODP327724 OMX327724:ONL327724 OWT327724:OXH327724 PGP327724:PHD327724 PQL327724:PQZ327724 QAH327724:QAV327724 QKD327724:QKR327724 QTZ327724:QUN327724 RDV327724:REJ327724 RNR327724:ROF327724 RXN327724:RYB327724 SHJ327724:SHX327724 SRF327724:SRT327724 TBB327724:TBP327724 TKX327724:TLL327724 TUT327724:TVH327724 UEP327724:UFD327724 UOL327724:UOZ327724 UYH327724:UYV327724 VID327724:VIR327724 VRZ327724:VSN327724 WBV327724:WCJ327724 WLR327724:WMF327724 WVN327724:WWB327724 F393260:T393260 JB393260:JP393260 SX393260:TL393260 ACT393260:ADH393260 AMP393260:AND393260 AWL393260:AWZ393260 BGH393260:BGV393260 BQD393260:BQR393260 BZZ393260:CAN393260 CJV393260:CKJ393260 CTR393260:CUF393260 DDN393260:DEB393260 DNJ393260:DNX393260 DXF393260:DXT393260 EHB393260:EHP393260 EQX393260:ERL393260 FAT393260:FBH393260 FKP393260:FLD393260 FUL393260:FUZ393260 GEH393260:GEV393260 GOD393260:GOR393260 GXZ393260:GYN393260 HHV393260:HIJ393260 HRR393260:HSF393260 IBN393260:ICB393260 ILJ393260:ILX393260 IVF393260:IVT393260 JFB393260:JFP393260 JOX393260:JPL393260 JYT393260:JZH393260 KIP393260:KJD393260 KSL393260:KSZ393260 LCH393260:LCV393260 LMD393260:LMR393260 LVZ393260:LWN393260 MFV393260:MGJ393260 MPR393260:MQF393260 MZN393260:NAB393260 NJJ393260:NJX393260 NTF393260:NTT393260 ODB393260:ODP393260 OMX393260:ONL393260 OWT393260:OXH393260 PGP393260:PHD393260 PQL393260:PQZ393260 QAH393260:QAV393260 QKD393260:QKR393260 QTZ393260:QUN393260 RDV393260:REJ393260 RNR393260:ROF393260 RXN393260:RYB393260 SHJ393260:SHX393260 SRF393260:SRT393260 TBB393260:TBP393260 TKX393260:TLL393260 TUT393260:TVH393260 UEP393260:UFD393260 UOL393260:UOZ393260 UYH393260:UYV393260 VID393260:VIR393260 VRZ393260:VSN393260 WBV393260:WCJ393260 WLR393260:WMF393260 WVN393260:WWB393260 F458796:T458796 JB458796:JP458796 SX458796:TL458796 ACT458796:ADH458796 AMP458796:AND458796 AWL458796:AWZ458796 BGH458796:BGV458796 BQD458796:BQR458796 BZZ458796:CAN458796 CJV458796:CKJ458796 CTR458796:CUF458796 DDN458796:DEB458796 DNJ458796:DNX458796 DXF458796:DXT458796 EHB458796:EHP458796 EQX458796:ERL458796 FAT458796:FBH458796 FKP458796:FLD458796 FUL458796:FUZ458796 GEH458796:GEV458796 GOD458796:GOR458796 GXZ458796:GYN458796 HHV458796:HIJ458796 HRR458796:HSF458796 IBN458796:ICB458796 ILJ458796:ILX458796 IVF458796:IVT458796 JFB458796:JFP458796 JOX458796:JPL458796 JYT458796:JZH458796 KIP458796:KJD458796 KSL458796:KSZ458796 LCH458796:LCV458796 LMD458796:LMR458796 LVZ458796:LWN458796 MFV458796:MGJ458796 MPR458796:MQF458796 MZN458796:NAB458796 NJJ458796:NJX458796 NTF458796:NTT458796 ODB458796:ODP458796 OMX458796:ONL458796 OWT458796:OXH458796 PGP458796:PHD458796 PQL458796:PQZ458796 QAH458796:QAV458796 QKD458796:QKR458796 QTZ458796:QUN458796 RDV458796:REJ458796 RNR458796:ROF458796 RXN458796:RYB458796 SHJ458796:SHX458796 SRF458796:SRT458796 TBB458796:TBP458796 TKX458796:TLL458796 TUT458796:TVH458796 UEP458796:UFD458796 UOL458796:UOZ458796 UYH458796:UYV458796 VID458796:VIR458796 VRZ458796:VSN458796 WBV458796:WCJ458796 WLR458796:WMF458796 WVN458796:WWB458796 F524332:T524332 JB524332:JP524332 SX524332:TL524332 ACT524332:ADH524332 AMP524332:AND524332 AWL524332:AWZ524332 BGH524332:BGV524332 BQD524332:BQR524332 BZZ524332:CAN524332 CJV524332:CKJ524332 CTR524332:CUF524332 DDN524332:DEB524332 DNJ524332:DNX524332 DXF524332:DXT524332 EHB524332:EHP524332 EQX524332:ERL524332 FAT524332:FBH524332 FKP524332:FLD524332 FUL524332:FUZ524332 GEH524332:GEV524332 GOD524332:GOR524332 GXZ524332:GYN524332 HHV524332:HIJ524332 HRR524332:HSF524332 IBN524332:ICB524332 ILJ524332:ILX524332 IVF524332:IVT524332 JFB524332:JFP524332 JOX524332:JPL524332 JYT524332:JZH524332 KIP524332:KJD524332 KSL524332:KSZ524332 LCH524332:LCV524332 LMD524332:LMR524332 LVZ524332:LWN524332 MFV524332:MGJ524332 MPR524332:MQF524332 MZN524332:NAB524332 NJJ524332:NJX524332 NTF524332:NTT524332 ODB524332:ODP524332 OMX524332:ONL524332 OWT524332:OXH524332 PGP524332:PHD524332 PQL524332:PQZ524332 QAH524332:QAV524332 QKD524332:QKR524332 QTZ524332:QUN524332 RDV524332:REJ524332 RNR524332:ROF524332 RXN524332:RYB524332 SHJ524332:SHX524332 SRF524332:SRT524332 TBB524332:TBP524332 TKX524332:TLL524332 TUT524332:TVH524332 UEP524332:UFD524332 UOL524332:UOZ524332 UYH524332:UYV524332 VID524332:VIR524332 VRZ524332:VSN524332 WBV524332:WCJ524332 WLR524332:WMF524332 WVN524332:WWB524332 F589868:T589868 JB589868:JP589868 SX589868:TL589868 ACT589868:ADH589868 AMP589868:AND589868 AWL589868:AWZ589868 BGH589868:BGV589868 BQD589868:BQR589868 BZZ589868:CAN589868 CJV589868:CKJ589868 CTR589868:CUF589868 DDN589868:DEB589868 DNJ589868:DNX589868 DXF589868:DXT589868 EHB589868:EHP589868 EQX589868:ERL589868 FAT589868:FBH589868 FKP589868:FLD589868 FUL589868:FUZ589868 GEH589868:GEV589868 GOD589868:GOR589868 GXZ589868:GYN589868 HHV589868:HIJ589868 HRR589868:HSF589868 IBN589868:ICB589868 ILJ589868:ILX589868 IVF589868:IVT589868 JFB589868:JFP589868 JOX589868:JPL589868 JYT589868:JZH589868 KIP589868:KJD589868 KSL589868:KSZ589868 LCH589868:LCV589868 LMD589868:LMR589868 LVZ589868:LWN589868 MFV589868:MGJ589868 MPR589868:MQF589868 MZN589868:NAB589868 NJJ589868:NJX589868 NTF589868:NTT589868 ODB589868:ODP589868 OMX589868:ONL589868 OWT589868:OXH589868 PGP589868:PHD589868 PQL589868:PQZ589868 QAH589868:QAV589868 QKD589868:QKR589868 QTZ589868:QUN589868 RDV589868:REJ589868 RNR589868:ROF589868 RXN589868:RYB589868 SHJ589868:SHX589868 SRF589868:SRT589868 TBB589868:TBP589868 TKX589868:TLL589868 TUT589868:TVH589868 UEP589868:UFD589868 UOL589868:UOZ589868 UYH589868:UYV589868 VID589868:VIR589868 VRZ589868:VSN589868 WBV589868:WCJ589868 WLR589868:WMF589868 WVN589868:WWB589868 F655404:T655404 JB655404:JP655404 SX655404:TL655404 ACT655404:ADH655404 AMP655404:AND655404 AWL655404:AWZ655404 BGH655404:BGV655404 BQD655404:BQR655404 BZZ655404:CAN655404 CJV655404:CKJ655404 CTR655404:CUF655404 DDN655404:DEB655404 DNJ655404:DNX655404 DXF655404:DXT655404 EHB655404:EHP655404 EQX655404:ERL655404 FAT655404:FBH655404 FKP655404:FLD655404 FUL655404:FUZ655404 GEH655404:GEV655404 GOD655404:GOR655404 GXZ655404:GYN655404 HHV655404:HIJ655404 HRR655404:HSF655404 IBN655404:ICB655404 ILJ655404:ILX655404 IVF655404:IVT655404 JFB655404:JFP655404 JOX655404:JPL655404 JYT655404:JZH655404 KIP655404:KJD655404 KSL655404:KSZ655404 LCH655404:LCV655404 LMD655404:LMR655404 LVZ655404:LWN655404 MFV655404:MGJ655404 MPR655404:MQF655404 MZN655404:NAB655404 NJJ655404:NJX655404 NTF655404:NTT655404 ODB655404:ODP655404 OMX655404:ONL655404 OWT655404:OXH655404 PGP655404:PHD655404 PQL655404:PQZ655404 QAH655404:QAV655404 QKD655404:QKR655404 QTZ655404:QUN655404 RDV655404:REJ655404 RNR655404:ROF655404 RXN655404:RYB655404 SHJ655404:SHX655404 SRF655404:SRT655404 TBB655404:TBP655404 TKX655404:TLL655404 TUT655404:TVH655404 UEP655404:UFD655404 UOL655404:UOZ655404 UYH655404:UYV655404 VID655404:VIR655404 VRZ655404:VSN655404 WBV655404:WCJ655404 WLR655404:WMF655404 WVN655404:WWB655404 F720940:T720940 JB720940:JP720940 SX720940:TL720940 ACT720940:ADH720940 AMP720940:AND720940 AWL720940:AWZ720940 BGH720940:BGV720940 BQD720940:BQR720940 BZZ720940:CAN720940 CJV720940:CKJ720940 CTR720940:CUF720940 DDN720940:DEB720940 DNJ720940:DNX720940 DXF720940:DXT720940 EHB720940:EHP720940 EQX720940:ERL720940 FAT720940:FBH720940 FKP720940:FLD720940 FUL720940:FUZ720940 GEH720940:GEV720940 GOD720940:GOR720940 GXZ720940:GYN720940 HHV720940:HIJ720940 HRR720940:HSF720940 IBN720940:ICB720940 ILJ720940:ILX720940 IVF720940:IVT720940 JFB720940:JFP720940 JOX720940:JPL720940 JYT720940:JZH720940 KIP720940:KJD720940 KSL720940:KSZ720940 LCH720940:LCV720940 LMD720940:LMR720940 LVZ720940:LWN720940 MFV720940:MGJ720940 MPR720940:MQF720940 MZN720940:NAB720940 NJJ720940:NJX720940 NTF720940:NTT720940 ODB720940:ODP720940 OMX720940:ONL720940 OWT720940:OXH720940 PGP720940:PHD720940 PQL720940:PQZ720940 QAH720940:QAV720940 QKD720940:QKR720940 QTZ720940:QUN720940 RDV720940:REJ720940 RNR720940:ROF720940 RXN720940:RYB720940 SHJ720940:SHX720940 SRF720940:SRT720940 TBB720940:TBP720940 TKX720940:TLL720940 TUT720940:TVH720940 UEP720940:UFD720940 UOL720940:UOZ720940 UYH720940:UYV720940 VID720940:VIR720940 VRZ720940:VSN720940 WBV720940:WCJ720940 WLR720940:WMF720940 WVN720940:WWB720940 F786476:T786476 JB786476:JP786476 SX786476:TL786476 ACT786476:ADH786476 AMP786476:AND786476 AWL786476:AWZ786476 BGH786476:BGV786476 BQD786476:BQR786476 BZZ786476:CAN786476 CJV786476:CKJ786476 CTR786476:CUF786476 DDN786476:DEB786476 DNJ786476:DNX786476 DXF786476:DXT786476 EHB786476:EHP786476 EQX786476:ERL786476 FAT786476:FBH786476 FKP786476:FLD786476 FUL786476:FUZ786476 GEH786476:GEV786476 GOD786476:GOR786476 GXZ786476:GYN786476 HHV786476:HIJ786476 HRR786476:HSF786476 IBN786476:ICB786476 ILJ786476:ILX786476 IVF786476:IVT786476 JFB786476:JFP786476 JOX786476:JPL786476 JYT786476:JZH786476 KIP786476:KJD786476 KSL786476:KSZ786476 LCH786476:LCV786476 LMD786476:LMR786476 LVZ786476:LWN786476 MFV786476:MGJ786476 MPR786476:MQF786476 MZN786476:NAB786476 NJJ786476:NJX786476 NTF786476:NTT786476 ODB786476:ODP786476 OMX786476:ONL786476 OWT786476:OXH786476 PGP786476:PHD786476 PQL786476:PQZ786476 QAH786476:QAV786476 QKD786476:QKR786476 QTZ786476:QUN786476 RDV786476:REJ786476 RNR786476:ROF786476 RXN786476:RYB786476 SHJ786476:SHX786476 SRF786476:SRT786476 TBB786476:TBP786476 TKX786476:TLL786476 TUT786476:TVH786476 UEP786476:UFD786476 UOL786476:UOZ786476 UYH786476:UYV786476 VID786476:VIR786476 VRZ786476:VSN786476 WBV786476:WCJ786476 WLR786476:WMF786476 WVN786476:WWB786476 F852012:T852012 JB852012:JP852012 SX852012:TL852012 ACT852012:ADH852012 AMP852012:AND852012 AWL852012:AWZ852012 BGH852012:BGV852012 BQD852012:BQR852012 BZZ852012:CAN852012 CJV852012:CKJ852012 CTR852012:CUF852012 DDN852012:DEB852012 DNJ852012:DNX852012 DXF852012:DXT852012 EHB852012:EHP852012 EQX852012:ERL852012 FAT852012:FBH852012 FKP852012:FLD852012 FUL852012:FUZ852012 GEH852012:GEV852012 GOD852012:GOR852012 GXZ852012:GYN852012 HHV852012:HIJ852012 HRR852012:HSF852012 IBN852012:ICB852012 ILJ852012:ILX852012 IVF852012:IVT852012 JFB852012:JFP852012 JOX852012:JPL852012 JYT852012:JZH852012 KIP852012:KJD852012 KSL852012:KSZ852012 LCH852012:LCV852012 LMD852012:LMR852012 LVZ852012:LWN852012 MFV852012:MGJ852012 MPR852012:MQF852012 MZN852012:NAB852012 NJJ852012:NJX852012 NTF852012:NTT852012 ODB852012:ODP852012 OMX852012:ONL852012 OWT852012:OXH852012 PGP852012:PHD852012 PQL852012:PQZ852012 QAH852012:QAV852012 QKD852012:QKR852012 QTZ852012:QUN852012 RDV852012:REJ852012 RNR852012:ROF852012 RXN852012:RYB852012 SHJ852012:SHX852012 SRF852012:SRT852012 TBB852012:TBP852012 TKX852012:TLL852012 TUT852012:TVH852012 UEP852012:UFD852012 UOL852012:UOZ852012 UYH852012:UYV852012 VID852012:VIR852012 VRZ852012:VSN852012 WBV852012:WCJ852012 WLR852012:WMF852012 WVN852012:WWB852012 F917548:T917548 JB917548:JP917548 SX917548:TL917548 ACT917548:ADH917548 AMP917548:AND917548 AWL917548:AWZ917548 BGH917548:BGV917548 BQD917548:BQR917548 BZZ917548:CAN917548 CJV917548:CKJ917548 CTR917548:CUF917548 DDN917548:DEB917548 DNJ917548:DNX917548 DXF917548:DXT917548 EHB917548:EHP917548 EQX917548:ERL917548 FAT917548:FBH917548 FKP917548:FLD917548 FUL917548:FUZ917548 GEH917548:GEV917548 GOD917548:GOR917548 GXZ917548:GYN917548 HHV917548:HIJ917548 HRR917548:HSF917548 IBN917548:ICB917548 ILJ917548:ILX917548 IVF917548:IVT917548 JFB917548:JFP917548 JOX917548:JPL917548 JYT917548:JZH917548 KIP917548:KJD917548 KSL917548:KSZ917548 LCH917548:LCV917548 LMD917548:LMR917548 LVZ917548:LWN917548 MFV917548:MGJ917548 MPR917548:MQF917548 MZN917548:NAB917548 NJJ917548:NJX917548 NTF917548:NTT917548 ODB917548:ODP917548 OMX917548:ONL917548 OWT917548:OXH917548 PGP917548:PHD917548 PQL917548:PQZ917548 QAH917548:QAV917548 QKD917548:QKR917548 QTZ917548:QUN917548 RDV917548:REJ917548 RNR917548:ROF917548 RXN917548:RYB917548 SHJ917548:SHX917548 SRF917548:SRT917548 TBB917548:TBP917548 TKX917548:TLL917548 TUT917548:TVH917548 UEP917548:UFD917548 UOL917548:UOZ917548 UYH917548:UYV917548 VID917548:VIR917548 VRZ917548:VSN917548 WBV917548:WCJ917548 WLR917548:WMF917548 WVN917548:WWB917548 F983084:T983084 JB983084:JP983084 SX983084:TL983084 ACT983084:ADH983084 AMP983084:AND983084 AWL983084:AWZ983084 BGH983084:BGV983084 BQD983084:BQR983084 BZZ983084:CAN983084 CJV983084:CKJ983084 CTR983084:CUF983084 DDN983084:DEB983084 DNJ983084:DNX983084 DXF983084:DXT983084 EHB983084:EHP983084 EQX983084:ERL983084 FAT983084:FBH983084 FKP983084:FLD983084 FUL983084:FUZ983084 GEH983084:GEV983084 GOD983084:GOR983084 GXZ983084:GYN983084 HHV983084:HIJ983084 HRR983084:HSF983084 IBN983084:ICB983084 ILJ983084:ILX983084 IVF983084:IVT983084 JFB983084:JFP983084 JOX983084:JPL983084 JYT983084:JZH983084 KIP983084:KJD983084 KSL983084:KSZ983084 LCH983084:LCV983084 LMD983084:LMR983084 LVZ983084:LWN983084 MFV983084:MGJ983084 MPR983084:MQF983084 MZN983084:NAB983084 NJJ983084:NJX983084 NTF983084:NTT983084 ODB983084:ODP983084 OMX983084:ONL983084 OWT983084:OXH983084 PGP983084:PHD983084 PQL983084:PQZ983084 QAH983084:QAV983084 QKD983084:QKR983084 QTZ983084:QUN983084 RDV983084:REJ983084 RNR983084:ROF983084 RXN983084:RYB983084 SHJ983084:SHX983084 SRF983084:SRT983084 TBB983084:TBP983084 TKX983084:TLL983084 TUT983084:TVH983084 UEP983084:UFD983084 UOL983084:UOZ983084 UYH983084:UYV983084 VID983084:VIR983084 VRZ983084:VSN983084 WBV983084:WCJ983084 WLR983084:WMF983084 F44:T44" xr:uid="{00000000-0002-0000-0100-000000000000}">
      <formula1>"N,A,B, "</formula1>
    </dataValidation>
    <dataValidation type="list" allowBlank="1" showInputMessage="1" showErrorMessage="1" sqref="WVN983085:WWB983085 JB45:JP45 SX45:TL45 ACT45:ADH45 AMP45:AND45 AWL45:AWZ45 BGH45:BGV45 BQD45:BQR45 BZZ45:CAN45 CJV45:CKJ45 CTR45:CUF45 DDN45:DEB45 DNJ45:DNX45 DXF45:DXT45 EHB45:EHP45 EQX45:ERL45 FAT45:FBH45 FKP45:FLD45 FUL45:FUZ45 GEH45:GEV45 GOD45:GOR45 GXZ45:GYN45 HHV45:HIJ45 HRR45:HSF45 IBN45:ICB45 ILJ45:ILX45 IVF45:IVT45 JFB45:JFP45 JOX45:JPL45 JYT45:JZH45 KIP45:KJD45 KSL45:KSZ45 LCH45:LCV45 LMD45:LMR45 LVZ45:LWN45 MFV45:MGJ45 MPR45:MQF45 MZN45:NAB45 NJJ45:NJX45 NTF45:NTT45 ODB45:ODP45 OMX45:ONL45 OWT45:OXH45 PGP45:PHD45 PQL45:PQZ45 QAH45:QAV45 QKD45:QKR45 QTZ45:QUN45 RDV45:REJ45 RNR45:ROF45 RXN45:RYB45 SHJ45:SHX45 SRF45:SRT45 TBB45:TBP45 TKX45:TLL45 TUT45:TVH45 UEP45:UFD45 UOL45:UOZ45 UYH45:UYV45 VID45:VIR45 VRZ45:VSN45 WBV45:WCJ45 WLR45:WMF45 WVN45:WWB45 F65581:T65581 JB65581:JP65581 SX65581:TL65581 ACT65581:ADH65581 AMP65581:AND65581 AWL65581:AWZ65581 BGH65581:BGV65581 BQD65581:BQR65581 BZZ65581:CAN65581 CJV65581:CKJ65581 CTR65581:CUF65581 DDN65581:DEB65581 DNJ65581:DNX65581 DXF65581:DXT65581 EHB65581:EHP65581 EQX65581:ERL65581 FAT65581:FBH65581 FKP65581:FLD65581 FUL65581:FUZ65581 GEH65581:GEV65581 GOD65581:GOR65581 GXZ65581:GYN65581 HHV65581:HIJ65581 HRR65581:HSF65581 IBN65581:ICB65581 ILJ65581:ILX65581 IVF65581:IVT65581 JFB65581:JFP65581 JOX65581:JPL65581 JYT65581:JZH65581 KIP65581:KJD65581 KSL65581:KSZ65581 LCH65581:LCV65581 LMD65581:LMR65581 LVZ65581:LWN65581 MFV65581:MGJ65581 MPR65581:MQF65581 MZN65581:NAB65581 NJJ65581:NJX65581 NTF65581:NTT65581 ODB65581:ODP65581 OMX65581:ONL65581 OWT65581:OXH65581 PGP65581:PHD65581 PQL65581:PQZ65581 QAH65581:QAV65581 QKD65581:QKR65581 QTZ65581:QUN65581 RDV65581:REJ65581 RNR65581:ROF65581 RXN65581:RYB65581 SHJ65581:SHX65581 SRF65581:SRT65581 TBB65581:TBP65581 TKX65581:TLL65581 TUT65581:TVH65581 UEP65581:UFD65581 UOL65581:UOZ65581 UYH65581:UYV65581 VID65581:VIR65581 VRZ65581:VSN65581 WBV65581:WCJ65581 WLR65581:WMF65581 WVN65581:WWB65581 F131117:T131117 JB131117:JP131117 SX131117:TL131117 ACT131117:ADH131117 AMP131117:AND131117 AWL131117:AWZ131117 BGH131117:BGV131117 BQD131117:BQR131117 BZZ131117:CAN131117 CJV131117:CKJ131117 CTR131117:CUF131117 DDN131117:DEB131117 DNJ131117:DNX131117 DXF131117:DXT131117 EHB131117:EHP131117 EQX131117:ERL131117 FAT131117:FBH131117 FKP131117:FLD131117 FUL131117:FUZ131117 GEH131117:GEV131117 GOD131117:GOR131117 GXZ131117:GYN131117 HHV131117:HIJ131117 HRR131117:HSF131117 IBN131117:ICB131117 ILJ131117:ILX131117 IVF131117:IVT131117 JFB131117:JFP131117 JOX131117:JPL131117 JYT131117:JZH131117 KIP131117:KJD131117 KSL131117:KSZ131117 LCH131117:LCV131117 LMD131117:LMR131117 LVZ131117:LWN131117 MFV131117:MGJ131117 MPR131117:MQF131117 MZN131117:NAB131117 NJJ131117:NJX131117 NTF131117:NTT131117 ODB131117:ODP131117 OMX131117:ONL131117 OWT131117:OXH131117 PGP131117:PHD131117 PQL131117:PQZ131117 QAH131117:QAV131117 QKD131117:QKR131117 QTZ131117:QUN131117 RDV131117:REJ131117 RNR131117:ROF131117 RXN131117:RYB131117 SHJ131117:SHX131117 SRF131117:SRT131117 TBB131117:TBP131117 TKX131117:TLL131117 TUT131117:TVH131117 UEP131117:UFD131117 UOL131117:UOZ131117 UYH131117:UYV131117 VID131117:VIR131117 VRZ131117:VSN131117 WBV131117:WCJ131117 WLR131117:WMF131117 WVN131117:WWB131117 F196653:T196653 JB196653:JP196653 SX196653:TL196653 ACT196653:ADH196653 AMP196653:AND196653 AWL196653:AWZ196653 BGH196653:BGV196653 BQD196653:BQR196653 BZZ196653:CAN196653 CJV196653:CKJ196653 CTR196653:CUF196653 DDN196653:DEB196653 DNJ196653:DNX196653 DXF196653:DXT196653 EHB196653:EHP196653 EQX196653:ERL196653 FAT196653:FBH196653 FKP196653:FLD196653 FUL196653:FUZ196653 GEH196653:GEV196653 GOD196653:GOR196653 GXZ196653:GYN196653 HHV196653:HIJ196653 HRR196653:HSF196653 IBN196653:ICB196653 ILJ196653:ILX196653 IVF196653:IVT196653 JFB196653:JFP196653 JOX196653:JPL196653 JYT196653:JZH196653 KIP196653:KJD196653 KSL196653:KSZ196653 LCH196653:LCV196653 LMD196653:LMR196653 LVZ196653:LWN196653 MFV196653:MGJ196653 MPR196653:MQF196653 MZN196653:NAB196653 NJJ196653:NJX196653 NTF196653:NTT196653 ODB196653:ODP196653 OMX196653:ONL196653 OWT196653:OXH196653 PGP196653:PHD196653 PQL196653:PQZ196653 QAH196653:QAV196653 QKD196653:QKR196653 QTZ196653:QUN196653 RDV196653:REJ196653 RNR196653:ROF196653 RXN196653:RYB196653 SHJ196653:SHX196653 SRF196653:SRT196653 TBB196653:TBP196653 TKX196653:TLL196653 TUT196653:TVH196653 UEP196653:UFD196653 UOL196653:UOZ196653 UYH196653:UYV196653 VID196653:VIR196653 VRZ196653:VSN196653 WBV196653:WCJ196653 WLR196653:WMF196653 WVN196653:WWB196653 F262189:T262189 JB262189:JP262189 SX262189:TL262189 ACT262189:ADH262189 AMP262189:AND262189 AWL262189:AWZ262189 BGH262189:BGV262189 BQD262189:BQR262189 BZZ262189:CAN262189 CJV262189:CKJ262189 CTR262189:CUF262189 DDN262189:DEB262189 DNJ262189:DNX262189 DXF262189:DXT262189 EHB262189:EHP262189 EQX262189:ERL262189 FAT262189:FBH262189 FKP262189:FLD262189 FUL262189:FUZ262189 GEH262189:GEV262189 GOD262189:GOR262189 GXZ262189:GYN262189 HHV262189:HIJ262189 HRR262189:HSF262189 IBN262189:ICB262189 ILJ262189:ILX262189 IVF262189:IVT262189 JFB262189:JFP262189 JOX262189:JPL262189 JYT262189:JZH262189 KIP262189:KJD262189 KSL262189:KSZ262189 LCH262189:LCV262189 LMD262189:LMR262189 LVZ262189:LWN262189 MFV262189:MGJ262189 MPR262189:MQF262189 MZN262189:NAB262189 NJJ262189:NJX262189 NTF262189:NTT262189 ODB262189:ODP262189 OMX262189:ONL262189 OWT262189:OXH262189 PGP262189:PHD262189 PQL262189:PQZ262189 QAH262189:QAV262189 QKD262189:QKR262189 QTZ262189:QUN262189 RDV262189:REJ262189 RNR262189:ROF262189 RXN262189:RYB262189 SHJ262189:SHX262189 SRF262189:SRT262189 TBB262189:TBP262189 TKX262189:TLL262189 TUT262189:TVH262189 UEP262189:UFD262189 UOL262189:UOZ262189 UYH262189:UYV262189 VID262189:VIR262189 VRZ262189:VSN262189 WBV262189:WCJ262189 WLR262189:WMF262189 WVN262189:WWB262189 F327725:T327725 JB327725:JP327725 SX327725:TL327725 ACT327725:ADH327725 AMP327725:AND327725 AWL327725:AWZ327725 BGH327725:BGV327725 BQD327725:BQR327725 BZZ327725:CAN327725 CJV327725:CKJ327725 CTR327725:CUF327725 DDN327725:DEB327725 DNJ327725:DNX327725 DXF327725:DXT327725 EHB327725:EHP327725 EQX327725:ERL327725 FAT327725:FBH327725 FKP327725:FLD327725 FUL327725:FUZ327725 GEH327725:GEV327725 GOD327725:GOR327725 GXZ327725:GYN327725 HHV327725:HIJ327725 HRR327725:HSF327725 IBN327725:ICB327725 ILJ327725:ILX327725 IVF327725:IVT327725 JFB327725:JFP327725 JOX327725:JPL327725 JYT327725:JZH327725 KIP327725:KJD327725 KSL327725:KSZ327725 LCH327725:LCV327725 LMD327725:LMR327725 LVZ327725:LWN327725 MFV327725:MGJ327725 MPR327725:MQF327725 MZN327725:NAB327725 NJJ327725:NJX327725 NTF327725:NTT327725 ODB327725:ODP327725 OMX327725:ONL327725 OWT327725:OXH327725 PGP327725:PHD327725 PQL327725:PQZ327725 QAH327725:QAV327725 QKD327725:QKR327725 QTZ327725:QUN327725 RDV327725:REJ327725 RNR327725:ROF327725 RXN327725:RYB327725 SHJ327725:SHX327725 SRF327725:SRT327725 TBB327725:TBP327725 TKX327725:TLL327725 TUT327725:TVH327725 UEP327725:UFD327725 UOL327725:UOZ327725 UYH327725:UYV327725 VID327725:VIR327725 VRZ327725:VSN327725 WBV327725:WCJ327725 WLR327725:WMF327725 WVN327725:WWB327725 F393261:T393261 JB393261:JP393261 SX393261:TL393261 ACT393261:ADH393261 AMP393261:AND393261 AWL393261:AWZ393261 BGH393261:BGV393261 BQD393261:BQR393261 BZZ393261:CAN393261 CJV393261:CKJ393261 CTR393261:CUF393261 DDN393261:DEB393261 DNJ393261:DNX393261 DXF393261:DXT393261 EHB393261:EHP393261 EQX393261:ERL393261 FAT393261:FBH393261 FKP393261:FLD393261 FUL393261:FUZ393261 GEH393261:GEV393261 GOD393261:GOR393261 GXZ393261:GYN393261 HHV393261:HIJ393261 HRR393261:HSF393261 IBN393261:ICB393261 ILJ393261:ILX393261 IVF393261:IVT393261 JFB393261:JFP393261 JOX393261:JPL393261 JYT393261:JZH393261 KIP393261:KJD393261 KSL393261:KSZ393261 LCH393261:LCV393261 LMD393261:LMR393261 LVZ393261:LWN393261 MFV393261:MGJ393261 MPR393261:MQF393261 MZN393261:NAB393261 NJJ393261:NJX393261 NTF393261:NTT393261 ODB393261:ODP393261 OMX393261:ONL393261 OWT393261:OXH393261 PGP393261:PHD393261 PQL393261:PQZ393261 QAH393261:QAV393261 QKD393261:QKR393261 QTZ393261:QUN393261 RDV393261:REJ393261 RNR393261:ROF393261 RXN393261:RYB393261 SHJ393261:SHX393261 SRF393261:SRT393261 TBB393261:TBP393261 TKX393261:TLL393261 TUT393261:TVH393261 UEP393261:UFD393261 UOL393261:UOZ393261 UYH393261:UYV393261 VID393261:VIR393261 VRZ393261:VSN393261 WBV393261:WCJ393261 WLR393261:WMF393261 WVN393261:WWB393261 F458797:T458797 JB458797:JP458797 SX458797:TL458797 ACT458797:ADH458797 AMP458797:AND458797 AWL458797:AWZ458797 BGH458797:BGV458797 BQD458797:BQR458797 BZZ458797:CAN458797 CJV458797:CKJ458797 CTR458797:CUF458797 DDN458797:DEB458797 DNJ458797:DNX458797 DXF458797:DXT458797 EHB458797:EHP458797 EQX458797:ERL458797 FAT458797:FBH458797 FKP458797:FLD458797 FUL458797:FUZ458797 GEH458797:GEV458797 GOD458797:GOR458797 GXZ458797:GYN458797 HHV458797:HIJ458797 HRR458797:HSF458797 IBN458797:ICB458797 ILJ458797:ILX458797 IVF458797:IVT458797 JFB458797:JFP458797 JOX458797:JPL458797 JYT458797:JZH458797 KIP458797:KJD458797 KSL458797:KSZ458797 LCH458797:LCV458797 LMD458797:LMR458797 LVZ458797:LWN458797 MFV458797:MGJ458797 MPR458797:MQF458797 MZN458797:NAB458797 NJJ458797:NJX458797 NTF458797:NTT458797 ODB458797:ODP458797 OMX458797:ONL458797 OWT458797:OXH458797 PGP458797:PHD458797 PQL458797:PQZ458797 QAH458797:QAV458797 QKD458797:QKR458797 QTZ458797:QUN458797 RDV458797:REJ458797 RNR458797:ROF458797 RXN458797:RYB458797 SHJ458797:SHX458797 SRF458797:SRT458797 TBB458797:TBP458797 TKX458797:TLL458797 TUT458797:TVH458797 UEP458797:UFD458797 UOL458797:UOZ458797 UYH458797:UYV458797 VID458797:VIR458797 VRZ458797:VSN458797 WBV458797:WCJ458797 WLR458797:WMF458797 WVN458797:WWB458797 F524333:T524333 JB524333:JP524333 SX524333:TL524333 ACT524333:ADH524333 AMP524333:AND524333 AWL524333:AWZ524333 BGH524333:BGV524333 BQD524333:BQR524333 BZZ524333:CAN524333 CJV524333:CKJ524333 CTR524333:CUF524333 DDN524333:DEB524333 DNJ524333:DNX524333 DXF524333:DXT524333 EHB524333:EHP524333 EQX524333:ERL524333 FAT524333:FBH524333 FKP524333:FLD524333 FUL524333:FUZ524333 GEH524333:GEV524333 GOD524333:GOR524333 GXZ524333:GYN524333 HHV524333:HIJ524333 HRR524333:HSF524333 IBN524333:ICB524333 ILJ524333:ILX524333 IVF524333:IVT524333 JFB524333:JFP524333 JOX524333:JPL524333 JYT524333:JZH524333 KIP524333:KJD524333 KSL524333:KSZ524333 LCH524333:LCV524333 LMD524333:LMR524333 LVZ524333:LWN524333 MFV524333:MGJ524333 MPR524333:MQF524333 MZN524333:NAB524333 NJJ524333:NJX524333 NTF524333:NTT524333 ODB524333:ODP524333 OMX524333:ONL524333 OWT524333:OXH524333 PGP524333:PHD524333 PQL524333:PQZ524333 QAH524333:QAV524333 QKD524333:QKR524333 QTZ524333:QUN524333 RDV524333:REJ524333 RNR524333:ROF524333 RXN524333:RYB524333 SHJ524333:SHX524333 SRF524333:SRT524333 TBB524333:TBP524333 TKX524333:TLL524333 TUT524333:TVH524333 UEP524333:UFD524333 UOL524333:UOZ524333 UYH524333:UYV524333 VID524333:VIR524333 VRZ524333:VSN524333 WBV524333:WCJ524333 WLR524333:WMF524333 WVN524333:WWB524333 F589869:T589869 JB589869:JP589869 SX589869:TL589869 ACT589869:ADH589869 AMP589869:AND589869 AWL589869:AWZ589869 BGH589869:BGV589869 BQD589869:BQR589869 BZZ589869:CAN589869 CJV589869:CKJ589869 CTR589869:CUF589869 DDN589869:DEB589869 DNJ589869:DNX589869 DXF589869:DXT589869 EHB589869:EHP589869 EQX589869:ERL589869 FAT589869:FBH589869 FKP589869:FLD589869 FUL589869:FUZ589869 GEH589869:GEV589869 GOD589869:GOR589869 GXZ589869:GYN589869 HHV589869:HIJ589869 HRR589869:HSF589869 IBN589869:ICB589869 ILJ589869:ILX589869 IVF589869:IVT589869 JFB589869:JFP589869 JOX589869:JPL589869 JYT589869:JZH589869 KIP589869:KJD589869 KSL589869:KSZ589869 LCH589869:LCV589869 LMD589869:LMR589869 LVZ589869:LWN589869 MFV589869:MGJ589869 MPR589869:MQF589869 MZN589869:NAB589869 NJJ589869:NJX589869 NTF589869:NTT589869 ODB589869:ODP589869 OMX589869:ONL589869 OWT589869:OXH589869 PGP589869:PHD589869 PQL589869:PQZ589869 QAH589869:QAV589869 QKD589869:QKR589869 QTZ589869:QUN589869 RDV589869:REJ589869 RNR589869:ROF589869 RXN589869:RYB589869 SHJ589869:SHX589869 SRF589869:SRT589869 TBB589869:TBP589869 TKX589869:TLL589869 TUT589869:TVH589869 UEP589869:UFD589869 UOL589869:UOZ589869 UYH589869:UYV589869 VID589869:VIR589869 VRZ589869:VSN589869 WBV589869:WCJ589869 WLR589869:WMF589869 WVN589869:WWB589869 F655405:T655405 JB655405:JP655405 SX655405:TL655405 ACT655405:ADH655405 AMP655405:AND655405 AWL655405:AWZ655405 BGH655405:BGV655405 BQD655405:BQR655405 BZZ655405:CAN655405 CJV655405:CKJ655405 CTR655405:CUF655405 DDN655405:DEB655405 DNJ655405:DNX655405 DXF655405:DXT655405 EHB655405:EHP655405 EQX655405:ERL655405 FAT655405:FBH655405 FKP655405:FLD655405 FUL655405:FUZ655405 GEH655405:GEV655405 GOD655405:GOR655405 GXZ655405:GYN655405 HHV655405:HIJ655405 HRR655405:HSF655405 IBN655405:ICB655405 ILJ655405:ILX655405 IVF655405:IVT655405 JFB655405:JFP655405 JOX655405:JPL655405 JYT655405:JZH655405 KIP655405:KJD655405 KSL655405:KSZ655405 LCH655405:LCV655405 LMD655405:LMR655405 LVZ655405:LWN655405 MFV655405:MGJ655405 MPR655405:MQF655405 MZN655405:NAB655405 NJJ655405:NJX655405 NTF655405:NTT655405 ODB655405:ODP655405 OMX655405:ONL655405 OWT655405:OXH655405 PGP655405:PHD655405 PQL655405:PQZ655405 QAH655405:QAV655405 QKD655405:QKR655405 QTZ655405:QUN655405 RDV655405:REJ655405 RNR655405:ROF655405 RXN655405:RYB655405 SHJ655405:SHX655405 SRF655405:SRT655405 TBB655405:TBP655405 TKX655405:TLL655405 TUT655405:TVH655405 UEP655405:UFD655405 UOL655405:UOZ655405 UYH655405:UYV655405 VID655405:VIR655405 VRZ655405:VSN655405 WBV655405:WCJ655405 WLR655405:WMF655405 WVN655405:WWB655405 F720941:T720941 JB720941:JP720941 SX720941:TL720941 ACT720941:ADH720941 AMP720941:AND720941 AWL720941:AWZ720941 BGH720941:BGV720941 BQD720941:BQR720941 BZZ720941:CAN720941 CJV720941:CKJ720941 CTR720941:CUF720941 DDN720941:DEB720941 DNJ720941:DNX720941 DXF720941:DXT720941 EHB720941:EHP720941 EQX720941:ERL720941 FAT720941:FBH720941 FKP720941:FLD720941 FUL720941:FUZ720941 GEH720941:GEV720941 GOD720941:GOR720941 GXZ720941:GYN720941 HHV720941:HIJ720941 HRR720941:HSF720941 IBN720941:ICB720941 ILJ720941:ILX720941 IVF720941:IVT720941 JFB720941:JFP720941 JOX720941:JPL720941 JYT720941:JZH720941 KIP720941:KJD720941 KSL720941:KSZ720941 LCH720941:LCV720941 LMD720941:LMR720941 LVZ720941:LWN720941 MFV720941:MGJ720941 MPR720941:MQF720941 MZN720941:NAB720941 NJJ720941:NJX720941 NTF720941:NTT720941 ODB720941:ODP720941 OMX720941:ONL720941 OWT720941:OXH720941 PGP720941:PHD720941 PQL720941:PQZ720941 QAH720941:QAV720941 QKD720941:QKR720941 QTZ720941:QUN720941 RDV720941:REJ720941 RNR720941:ROF720941 RXN720941:RYB720941 SHJ720941:SHX720941 SRF720941:SRT720941 TBB720941:TBP720941 TKX720941:TLL720941 TUT720941:TVH720941 UEP720941:UFD720941 UOL720941:UOZ720941 UYH720941:UYV720941 VID720941:VIR720941 VRZ720941:VSN720941 WBV720941:WCJ720941 WLR720941:WMF720941 WVN720941:WWB720941 F786477:T786477 JB786477:JP786477 SX786477:TL786477 ACT786477:ADH786477 AMP786477:AND786477 AWL786477:AWZ786477 BGH786477:BGV786477 BQD786477:BQR786477 BZZ786477:CAN786477 CJV786477:CKJ786477 CTR786477:CUF786477 DDN786477:DEB786477 DNJ786477:DNX786477 DXF786477:DXT786477 EHB786477:EHP786477 EQX786477:ERL786477 FAT786477:FBH786477 FKP786477:FLD786477 FUL786477:FUZ786477 GEH786477:GEV786477 GOD786477:GOR786477 GXZ786477:GYN786477 HHV786477:HIJ786477 HRR786477:HSF786477 IBN786477:ICB786477 ILJ786477:ILX786477 IVF786477:IVT786477 JFB786477:JFP786477 JOX786477:JPL786477 JYT786477:JZH786477 KIP786477:KJD786477 KSL786477:KSZ786477 LCH786477:LCV786477 LMD786477:LMR786477 LVZ786477:LWN786477 MFV786477:MGJ786477 MPR786477:MQF786477 MZN786477:NAB786477 NJJ786477:NJX786477 NTF786477:NTT786477 ODB786477:ODP786477 OMX786477:ONL786477 OWT786477:OXH786477 PGP786477:PHD786477 PQL786477:PQZ786477 QAH786477:QAV786477 QKD786477:QKR786477 QTZ786477:QUN786477 RDV786477:REJ786477 RNR786477:ROF786477 RXN786477:RYB786477 SHJ786477:SHX786477 SRF786477:SRT786477 TBB786477:TBP786477 TKX786477:TLL786477 TUT786477:TVH786477 UEP786477:UFD786477 UOL786477:UOZ786477 UYH786477:UYV786477 VID786477:VIR786477 VRZ786477:VSN786477 WBV786477:WCJ786477 WLR786477:WMF786477 WVN786477:WWB786477 F852013:T852013 JB852013:JP852013 SX852013:TL852013 ACT852013:ADH852013 AMP852013:AND852013 AWL852013:AWZ852013 BGH852013:BGV852013 BQD852013:BQR852013 BZZ852013:CAN852013 CJV852013:CKJ852013 CTR852013:CUF852013 DDN852013:DEB852013 DNJ852013:DNX852013 DXF852013:DXT852013 EHB852013:EHP852013 EQX852013:ERL852013 FAT852013:FBH852013 FKP852013:FLD852013 FUL852013:FUZ852013 GEH852013:GEV852013 GOD852013:GOR852013 GXZ852013:GYN852013 HHV852013:HIJ852013 HRR852013:HSF852013 IBN852013:ICB852013 ILJ852013:ILX852013 IVF852013:IVT852013 JFB852013:JFP852013 JOX852013:JPL852013 JYT852013:JZH852013 KIP852013:KJD852013 KSL852013:KSZ852013 LCH852013:LCV852013 LMD852013:LMR852013 LVZ852013:LWN852013 MFV852013:MGJ852013 MPR852013:MQF852013 MZN852013:NAB852013 NJJ852013:NJX852013 NTF852013:NTT852013 ODB852013:ODP852013 OMX852013:ONL852013 OWT852013:OXH852013 PGP852013:PHD852013 PQL852013:PQZ852013 QAH852013:QAV852013 QKD852013:QKR852013 QTZ852013:QUN852013 RDV852013:REJ852013 RNR852013:ROF852013 RXN852013:RYB852013 SHJ852013:SHX852013 SRF852013:SRT852013 TBB852013:TBP852013 TKX852013:TLL852013 TUT852013:TVH852013 UEP852013:UFD852013 UOL852013:UOZ852013 UYH852013:UYV852013 VID852013:VIR852013 VRZ852013:VSN852013 WBV852013:WCJ852013 WLR852013:WMF852013 WVN852013:WWB852013 F917549:T917549 JB917549:JP917549 SX917549:TL917549 ACT917549:ADH917549 AMP917549:AND917549 AWL917549:AWZ917549 BGH917549:BGV917549 BQD917549:BQR917549 BZZ917549:CAN917549 CJV917549:CKJ917549 CTR917549:CUF917549 DDN917549:DEB917549 DNJ917549:DNX917549 DXF917549:DXT917549 EHB917549:EHP917549 EQX917549:ERL917549 FAT917549:FBH917549 FKP917549:FLD917549 FUL917549:FUZ917549 GEH917549:GEV917549 GOD917549:GOR917549 GXZ917549:GYN917549 HHV917549:HIJ917549 HRR917549:HSF917549 IBN917549:ICB917549 ILJ917549:ILX917549 IVF917549:IVT917549 JFB917549:JFP917549 JOX917549:JPL917549 JYT917549:JZH917549 KIP917549:KJD917549 KSL917549:KSZ917549 LCH917549:LCV917549 LMD917549:LMR917549 LVZ917549:LWN917549 MFV917549:MGJ917549 MPR917549:MQF917549 MZN917549:NAB917549 NJJ917549:NJX917549 NTF917549:NTT917549 ODB917549:ODP917549 OMX917549:ONL917549 OWT917549:OXH917549 PGP917549:PHD917549 PQL917549:PQZ917549 QAH917549:QAV917549 QKD917549:QKR917549 QTZ917549:QUN917549 RDV917549:REJ917549 RNR917549:ROF917549 RXN917549:RYB917549 SHJ917549:SHX917549 SRF917549:SRT917549 TBB917549:TBP917549 TKX917549:TLL917549 TUT917549:TVH917549 UEP917549:UFD917549 UOL917549:UOZ917549 UYH917549:UYV917549 VID917549:VIR917549 VRZ917549:VSN917549 WBV917549:WCJ917549 WLR917549:WMF917549 WVN917549:WWB917549 F983085:T983085 JB983085:JP983085 SX983085:TL983085 ACT983085:ADH983085 AMP983085:AND983085 AWL983085:AWZ983085 BGH983085:BGV983085 BQD983085:BQR983085 BZZ983085:CAN983085 CJV983085:CKJ983085 CTR983085:CUF983085 DDN983085:DEB983085 DNJ983085:DNX983085 DXF983085:DXT983085 EHB983085:EHP983085 EQX983085:ERL983085 FAT983085:FBH983085 FKP983085:FLD983085 FUL983085:FUZ983085 GEH983085:GEV983085 GOD983085:GOR983085 GXZ983085:GYN983085 HHV983085:HIJ983085 HRR983085:HSF983085 IBN983085:ICB983085 ILJ983085:ILX983085 IVF983085:IVT983085 JFB983085:JFP983085 JOX983085:JPL983085 JYT983085:JZH983085 KIP983085:KJD983085 KSL983085:KSZ983085 LCH983085:LCV983085 LMD983085:LMR983085 LVZ983085:LWN983085 MFV983085:MGJ983085 MPR983085:MQF983085 MZN983085:NAB983085 NJJ983085:NJX983085 NTF983085:NTT983085 ODB983085:ODP983085 OMX983085:ONL983085 OWT983085:OXH983085 PGP983085:PHD983085 PQL983085:PQZ983085 QAH983085:QAV983085 QKD983085:QKR983085 QTZ983085:QUN983085 RDV983085:REJ983085 RNR983085:ROF983085 RXN983085:RYB983085 SHJ983085:SHX983085 SRF983085:SRT983085 TBB983085:TBP983085 TKX983085:TLL983085 TUT983085:TVH983085 UEP983085:UFD983085 UOL983085:UOZ983085 UYH983085:UYV983085 VID983085:VIR983085 VRZ983085:VSN983085 WBV983085:WCJ983085 WLR983085:WMF983085 F45:T45" xr:uid="{00000000-0002-0000-0100-000001000000}">
      <formula1>"P,F, "</formula1>
    </dataValidation>
    <dataValidation type="list" allowBlank="1" showInputMessage="1" showErrorMessage="1" sqref="WVN983055:WWB983083 F65551:T65579 JB65551:JP65579 SX65551:TL65579 ACT65551:ADH65579 AMP65551:AND65579 AWL65551:AWZ65579 BGH65551:BGV65579 BQD65551:BQR65579 BZZ65551:CAN65579 CJV65551:CKJ65579 CTR65551:CUF65579 DDN65551:DEB65579 DNJ65551:DNX65579 DXF65551:DXT65579 EHB65551:EHP65579 EQX65551:ERL65579 FAT65551:FBH65579 FKP65551:FLD65579 FUL65551:FUZ65579 GEH65551:GEV65579 GOD65551:GOR65579 GXZ65551:GYN65579 HHV65551:HIJ65579 HRR65551:HSF65579 IBN65551:ICB65579 ILJ65551:ILX65579 IVF65551:IVT65579 JFB65551:JFP65579 JOX65551:JPL65579 JYT65551:JZH65579 KIP65551:KJD65579 KSL65551:KSZ65579 LCH65551:LCV65579 LMD65551:LMR65579 LVZ65551:LWN65579 MFV65551:MGJ65579 MPR65551:MQF65579 MZN65551:NAB65579 NJJ65551:NJX65579 NTF65551:NTT65579 ODB65551:ODP65579 OMX65551:ONL65579 OWT65551:OXH65579 PGP65551:PHD65579 PQL65551:PQZ65579 QAH65551:QAV65579 QKD65551:QKR65579 QTZ65551:QUN65579 RDV65551:REJ65579 RNR65551:ROF65579 RXN65551:RYB65579 SHJ65551:SHX65579 SRF65551:SRT65579 TBB65551:TBP65579 TKX65551:TLL65579 TUT65551:TVH65579 UEP65551:UFD65579 UOL65551:UOZ65579 UYH65551:UYV65579 VID65551:VIR65579 VRZ65551:VSN65579 WBV65551:WCJ65579 WLR65551:WMF65579 WVN65551:WWB65579 F131087:T131115 JB131087:JP131115 SX131087:TL131115 ACT131087:ADH131115 AMP131087:AND131115 AWL131087:AWZ131115 BGH131087:BGV131115 BQD131087:BQR131115 BZZ131087:CAN131115 CJV131087:CKJ131115 CTR131087:CUF131115 DDN131087:DEB131115 DNJ131087:DNX131115 DXF131087:DXT131115 EHB131087:EHP131115 EQX131087:ERL131115 FAT131087:FBH131115 FKP131087:FLD131115 FUL131087:FUZ131115 GEH131087:GEV131115 GOD131087:GOR131115 GXZ131087:GYN131115 HHV131087:HIJ131115 HRR131087:HSF131115 IBN131087:ICB131115 ILJ131087:ILX131115 IVF131087:IVT131115 JFB131087:JFP131115 JOX131087:JPL131115 JYT131087:JZH131115 KIP131087:KJD131115 KSL131087:KSZ131115 LCH131087:LCV131115 LMD131087:LMR131115 LVZ131087:LWN131115 MFV131087:MGJ131115 MPR131087:MQF131115 MZN131087:NAB131115 NJJ131087:NJX131115 NTF131087:NTT131115 ODB131087:ODP131115 OMX131087:ONL131115 OWT131087:OXH131115 PGP131087:PHD131115 PQL131087:PQZ131115 QAH131087:QAV131115 QKD131087:QKR131115 QTZ131087:QUN131115 RDV131087:REJ131115 RNR131087:ROF131115 RXN131087:RYB131115 SHJ131087:SHX131115 SRF131087:SRT131115 TBB131087:TBP131115 TKX131087:TLL131115 TUT131087:TVH131115 UEP131087:UFD131115 UOL131087:UOZ131115 UYH131087:UYV131115 VID131087:VIR131115 VRZ131087:VSN131115 WBV131087:WCJ131115 WLR131087:WMF131115 WVN131087:WWB131115 F196623:T196651 JB196623:JP196651 SX196623:TL196651 ACT196623:ADH196651 AMP196623:AND196651 AWL196623:AWZ196651 BGH196623:BGV196651 BQD196623:BQR196651 BZZ196623:CAN196651 CJV196623:CKJ196651 CTR196623:CUF196651 DDN196623:DEB196651 DNJ196623:DNX196651 DXF196623:DXT196651 EHB196623:EHP196651 EQX196623:ERL196651 FAT196623:FBH196651 FKP196623:FLD196651 FUL196623:FUZ196651 GEH196623:GEV196651 GOD196623:GOR196651 GXZ196623:GYN196651 HHV196623:HIJ196651 HRR196623:HSF196651 IBN196623:ICB196651 ILJ196623:ILX196651 IVF196623:IVT196651 JFB196623:JFP196651 JOX196623:JPL196651 JYT196623:JZH196651 KIP196623:KJD196651 KSL196623:KSZ196651 LCH196623:LCV196651 LMD196623:LMR196651 LVZ196623:LWN196651 MFV196623:MGJ196651 MPR196623:MQF196651 MZN196623:NAB196651 NJJ196623:NJX196651 NTF196623:NTT196651 ODB196623:ODP196651 OMX196623:ONL196651 OWT196623:OXH196651 PGP196623:PHD196651 PQL196623:PQZ196651 QAH196623:QAV196651 QKD196623:QKR196651 QTZ196623:QUN196651 RDV196623:REJ196651 RNR196623:ROF196651 RXN196623:RYB196651 SHJ196623:SHX196651 SRF196623:SRT196651 TBB196623:TBP196651 TKX196623:TLL196651 TUT196623:TVH196651 UEP196623:UFD196651 UOL196623:UOZ196651 UYH196623:UYV196651 VID196623:VIR196651 VRZ196623:VSN196651 WBV196623:WCJ196651 WLR196623:WMF196651 WVN196623:WWB196651 F262159:T262187 JB262159:JP262187 SX262159:TL262187 ACT262159:ADH262187 AMP262159:AND262187 AWL262159:AWZ262187 BGH262159:BGV262187 BQD262159:BQR262187 BZZ262159:CAN262187 CJV262159:CKJ262187 CTR262159:CUF262187 DDN262159:DEB262187 DNJ262159:DNX262187 DXF262159:DXT262187 EHB262159:EHP262187 EQX262159:ERL262187 FAT262159:FBH262187 FKP262159:FLD262187 FUL262159:FUZ262187 GEH262159:GEV262187 GOD262159:GOR262187 GXZ262159:GYN262187 HHV262159:HIJ262187 HRR262159:HSF262187 IBN262159:ICB262187 ILJ262159:ILX262187 IVF262159:IVT262187 JFB262159:JFP262187 JOX262159:JPL262187 JYT262159:JZH262187 KIP262159:KJD262187 KSL262159:KSZ262187 LCH262159:LCV262187 LMD262159:LMR262187 LVZ262159:LWN262187 MFV262159:MGJ262187 MPR262159:MQF262187 MZN262159:NAB262187 NJJ262159:NJX262187 NTF262159:NTT262187 ODB262159:ODP262187 OMX262159:ONL262187 OWT262159:OXH262187 PGP262159:PHD262187 PQL262159:PQZ262187 QAH262159:QAV262187 QKD262159:QKR262187 QTZ262159:QUN262187 RDV262159:REJ262187 RNR262159:ROF262187 RXN262159:RYB262187 SHJ262159:SHX262187 SRF262159:SRT262187 TBB262159:TBP262187 TKX262159:TLL262187 TUT262159:TVH262187 UEP262159:UFD262187 UOL262159:UOZ262187 UYH262159:UYV262187 VID262159:VIR262187 VRZ262159:VSN262187 WBV262159:WCJ262187 WLR262159:WMF262187 WVN262159:WWB262187 F327695:T327723 JB327695:JP327723 SX327695:TL327723 ACT327695:ADH327723 AMP327695:AND327723 AWL327695:AWZ327723 BGH327695:BGV327723 BQD327695:BQR327723 BZZ327695:CAN327723 CJV327695:CKJ327723 CTR327695:CUF327723 DDN327695:DEB327723 DNJ327695:DNX327723 DXF327695:DXT327723 EHB327695:EHP327723 EQX327695:ERL327723 FAT327695:FBH327723 FKP327695:FLD327723 FUL327695:FUZ327723 GEH327695:GEV327723 GOD327695:GOR327723 GXZ327695:GYN327723 HHV327695:HIJ327723 HRR327695:HSF327723 IBN327695:ICB327723 ILJ327695:ILX327723 IVF327695:IVT327723 JFB327695:JFP327723 JOX327695:JPL327723 JYT327695:JZH327723 KIP327695:KJD327723 KSL327695:KSZ327723 LCH327695:LCV327723 LMD327695:LMR327723 LVZ327695:LWN327723 MFV327695:MGJ327723 MPR327695:MQF327723 MZN327695:NAB327723 NJJ327695:NJX327723 NTF327695:NTT327723 ODB327695:ODP327723 OMX327695:ONL327723 OWT327695:OXH327723 PGP327695:PHD327723 PQL327695:PQZ327723 QAH327695:QAV327723 QKD327695:QKR327723 QTZ327695:QUN327723 RDV327695:REJ327723 RNR327695:ROF327723 RXN327695:RYB327723 SHJ327695:SHX327723 SRF327695:SRT327723 TBB327695:TBP327723 TKX327695:TLL327723 TUT327695:TVH327723 UEP327695:UFD327723 UOL327695:UOZ327723 UYH327695:UYV327723 VID327695:VIR327723 VRZ327695:VSN327723 WBV327695:WCJ327723 WLR327695:WMF327723 WVN327695:WWB327723 F393231:T393259 JB393231:JP393259 SX393231:TL393259 ACT393231:ADH393259 AMP393231:AND393259 AWL393231:AWZ393259 BGH393231:BGV393259 BQD393231:BQR393259 BZZ393231:CAN393259 CJV393231:CKJ393259 CTR393231:CUF393259 DDN393231:DEB393259 DNJ393231:DNX393259 DXF393231:DXT393259 EHB393231:EHP393259 EQX393231:ERL393259 FAT393231:FBH393259 FKP393231:FLD393259 FUL393231:FUZ393259 GEH393231:GEV393259 GOD393231:GOR393259 GXZ393231:GYN393259 HHV393231:HIJ393259 HRR393231:HSF393259 IBN393231:ICB393259 ILJ393231:ILX393259 IVF393231:IVT393259 JFB393231:JFP393259 JOX393231:JPL393259 JYT393231:JZH393259 KIP393231:KJD393259 KSL393231:KSZ393259 LCH393231:LCV393259 LMD393231:LMR393259 LVZ393231:LWN393259 MFV393231:MGJ393259 MPR393231:MQF393259 MZN393231:NAB393259 NJJ393231:NJX393259 NTF393231:NTT393259 ODB393231:ODP393259 OMX393231:ONL393259 OWT393231:OXH393259 PGP393231:PHD393259 PQL393231:PQZ393259 QAH393231:QAV393259 QKD393231:QKR393259 QTZ393231:QUN393259 RDV393231:REJ393259 RNR393231:ROF393259 RXN393231:RYB393259 SHJ393231:SHX393259 SRF393231:SRT393259 TBB393231:TBP393259 TKX393231:TLL393259 TUT393231:TVH393259 UEP393231:UFD393259 UOL393231:UOZ393259 UYH393231:UYV393259 VID393231:VIR393259 VRZ393231:VSN393259 WBV393231:WCJ393259 WLR393231:WMF393259 WVN393231:WWB393259 F458767:T458795 JB458767:JP458795 SX458767:TL458795 ACT458767:ADH458795 AMP458767:AND458795 AWL458767:AWZ458795 BGH458767:BGV458795 BQD458767:BQR458795 BZZ458767:CAN458795 CJV458767:CKJ458795 CTR458767:CUF458795 DDN458767:DEB458795 DNJ458767:DNX458795 DXF458767:DXT458795 EHB458767:EHP458795 EQX458767:ERL458795 FAT458767:FBH458795 FKP458767:FLD458795 FUL458767:FUZ458795 GEH458767:GEV458795 GOD458767:GOR458795 GXZ458767:GYN458795 HHV458767:HIJ458795 HRR458767:HSF458795 IBN458767:ICB458795 ILJ458767:ILX458795 IVF458767:IVT458795 JFB458767:JFP458795 JOX458767:JPL458795 JYT458767:JZH458795 KIP458767:KJD458795 KSL458767:KSZ458795 LCH458767:LCV458795 LMD458767:LMR458795 LVZ458767:LWN458795 MFV458767:MGJ458795 MPR458767:MQF458795 MZN458767:NAB458795 NJJ458767:NJX458795 NTF458767:NTT458795 ODB458767:ODP458795 OMX458767:ONL458795 OWT458767:OXH458795 PGP458767:PHD458795 PQL458767:PQZ458795 QAH458767:QAV458795 QKD458767:QKR458795 QTZ458767:QUN458795 RDV458767:REJ458795 RNR458767:ROF458795 RXN458767:RYB458795 SHJ458767:SHX458795 SRF458767:SRT458795 TBB458767:TBP458795 TKX458767:TLL458795 TUT458767:TVH458795 UEP458767:UFD458795 UOL458767:UOZ458795 UYH458767:UYV458795 VID458767:VIR458795 VRZ458767:VSN458795 WBV458767:WCJ458795 WLR458767:WMF458795 WVN458767:WWB458795 F524303:T524331 JB524303:JP524331 SX524303:TL524331 ACT524303:ADH524331 AMP524303:AND524331 AWL524303:AWZ524331 BGH524303:BGV524331 BQD524303:BQR524331 BZZ524303:CAN524331 CJV524303:CKJ524331 CTR524303:CUF524331 DDN524303:DEB524331 DNJ524303:DNX524331 DXF524303:DXT524331 EHB524303:EHP524331 EQX524303:ERL524331 FAT524303:FBH524331 FKP524303:FLD524331 FUL524303:FUZ524331 GEH524303:GEV524331 GOD524303:GOR524331 GXZ524303:GYN524331 HHV524303:HIJ524331 HRR524303:HSF524331 IBN524303:ICB524331 ILJ524303:ILX524331 IVF524303:IVT524331 JFB524303:JFP524331 JOX524303:JPL524331 JYT524303:JZH524331 KIP524303:KJD524331 KSL524303:KSZ524331 LCH524303:LCV524331 LMD524303:LMR524331 LVZ524303:LWN524331 MFV524303:MGJ524331 MPR524303:MQF524331 MZN524303:NAB524331 NJJ524303:NJX524331 NTF524303:NTT524331 ODB524303:ODP524331 OMX524303:ONL524331 OWT524303:OXH524331 PGP524303:PHD524331 PQL524303:PQZ524331 QAH524303:QAV524331 QKD524303:QKR524331 QTZ524303:QUN524331 RDV524303:REJ524331 RNR524303:ROF524331 RXN524303:RYB524331 SHJ524303:SHX524331 SRF524303:SRT524331 TBB524303:TBP524331 TKX524303:TLL524331 TUT524303:TVH524331 UEP524303:UFD524331 UOL524303:UOZ524331 UYH524303:UYV524331 VID524303:VIR524331 VRZ524303:VSN524331 WBV524303:WCJ524331 WLR524303:WMF524331 WVN524303:WWB524331 F589839:T589867 JB589839:JP589867 SX589839:TL589867 ACT589839:ADH589867 AMP589839:AND589867 AWL589839:AWZ589867 BGH589839:BGV589867 BQD589839:BQR589867 BZZ589839:CAN589867 CJV589839:CKJ589867 CTR589839:CUF589867 DDN589839:DEB589867 DNJ589839:DNX589867 DXF589839:DXT589867 EHB589839:EHP589867 EQX589839:ERL589867 FAT589839:FBH589867 FKP589839:FLD589867 FUL589839:FUZ589867 GEH589839:GEV589867 GOD589839:GOR589867 GXZ589839:GYN589867 HHV589839:HIJ589867 HRR589839:HSF589867 IBN589839:ICB589867 ILJ589839:ILX589867 IVF589839:IVT589867 JFB589839:JFP589867 JOX589839:JPL589867 JYT589839:JZH589867 KIP589839:KJD589867 KSL589839:KSZ589867 LCH589839:LCV589867 LMD589839:LMR589867 LVZ589839:LWN589867 MFV589839:MGJ589867 MPR589839:MQF589867 MZN589839:NAB589867 NJJ589839:NJX589867 NTF589839:NTT589867 ODB589839:ODP589867 OMX589839:ONL589867 OWT589839:OXH589867 PGP589839:PHD589867 PQL589839:PQZ589867 QAH589839:QAV589867 QKD589839:QKR589867 QTZ589839:QUN589867 RDV589839:REJ589867 RNR589839:ROF589867 RXN589839:RYB589867 SHJ589839:SHX589867 SRF589839:SRT589867 TBB589839:TBP589867 TKX589839:TLL589867 TUT589839:TVH589867 UEP589839:UFD589867 UOL589839:UOZ589867 UYH589839:UYV589867 VID589839:VIR589867 VRZ589839:VSN589867 WBV589839:WCJ589867 WLR589839:WMF589867 WVN589839:WWB589867 F655375:T655403 JB655375:JP655403 SX655375:TL655403 ACT655375:ADH655403 AMP655375:AND655403 AWL655375:AWZ655403 BGH655375:BGV655403 BQD655375:BQR655403 BZZ655375:CAN655403 CJV655375:CKJ655403 CTR655375:CUF655403 DDN655375:DEB655403 DNJ655375:DNX655403 DXF655375:DXT655403 EHB655375:EHP655403 EQX655375:ERL655403 FAT655375:FBH655403 FKP655375:FLD655403 FUL655375:FUZ655403 GEH655375:GEV655403 GOD655375:GOR655403 GXZ655375:GYN655403 HHV655375:HIJ655403 HRR655375:HSF655403 IBN655375:ICB655403 ILJ655375:ILX655403 IVF655375:IVT655403 JFB655375:JFP655403 JOX655375:JPL655403 JYT655375:JZH655403 KIP655375:KJD655403 KSL655375:KSZ655403 LCH655375:LCV655403 LMD655375:LMR655403 LVZ655375:LWN655403 MFV655375:MGJ655403 MPR655375:MQF655403 MZN655375:NAB655403 NJJ655375:NJX655403 NTF655375:NTT655403 ODB655375:ODP655403 OMX655375:ONL655403 OWT655375:OXH655403 PGP655375:PHD655403 PQL655375:PQZ655403 QAH655375:QAV655403 QKD655375:QKR655403 QTZ655375:QUN655403 RDV655375:REJ655403 RNR655375:ROF655403 RXN655375:RYB655403 SHJ655375:SHX655403 SRF655375:SRT655403 TBB655375:TBP655403 TKX655375:TLL655403 TUT655375:TVH655403 UEP655375:UFD655403 UOL655375:UOZ655403 UYH655375:UYV655403 VID655375:VIR655403 VRZ655375:VSN655403 WBV655375:WCJ655403 WLR655375:WMF655403 WVN655375:WWB655403 F720911:T720939 JB720911:JP720939 SX720911:TL720939 ACT720911:ADH720939 AMP720911:AND720939 AWL720911:AWZ720939 BGH720911:BGV720939 BQD720911:BQR720939 BZZ720911:CAN720939 CJV720911:CKJ720939 CTR720911:CUF720939 DDN720911:DEB720939 DNJ720911:DNX720939 DXF720911:DXT720939 EHB720911:EHP720939 EQX720911:ERL720939 FAT720911:FBH720939 FKP720911:FLD720939 FUL720911:FUZ720939 GEH720911:GEV720939 GOD720911:GOR720939 GXZ720911:GYN720939 HHV720911:HIJ720939 HRR720911:HSF720939 IBN720911:ICB720939 ILJ720911:ILX720939 IVF720911:IVT720939 JFB720911:JFP720939 JOX720911:JPL720939 JYT720911:JZH720939 KIP720911:KJD720939 KSL720911:KSZ720939 LCH720911:LCV720939 LMD720911:LMR720939 LVZ720911:LWN720939 MFV720911:MGJ720939 MPR720911:MQF720939 MZN720911:NAB720939 NJJ720911:NJX720939 NTF720911:NTT720939 ODB720911:ODP720939 OMX720911:ONL720939 OWT720911:OXH720939 PGP720911:PHD720939 PQL720911:PQZ720939 QAH720911:QAV720939 QKD720911:QKR720939 QTZ720911:QUN720939 RDV720911:REJ720939 RNR720911:ROF720939 RXN720911:RYB720939 SHJ720911:SHX720939 SRF720911:SRT720939 TBB720911:TBP720939 TKX720911:TLL720939 TUT720911:TVH720939 UEP720911:UFD720939 UOL720911:UOZ720939 UYH720911:UYV720939 VID720911:VIR720939 VRZ720911:VSN720939 WBV720911:WCJ720939 WLR720911:WMF720939 WVN720911:WWB720939 F786447:T786475 JB786447:JP786475 SX786447:TL786475 ACT786447:ADH786475 AMP786447:AND786475 AWL786447:AWZ786475 BGH786447:BGV786475 BQD786447:BQR786475 BZZ786447:CAN786475 CJV786447:CKJ786475 CTR786447:CUF786475 DDN786447:DEB786475 DNJ786447:DNX786475 DXF786447:DXT786475 EHB786447:EHP786475 EQX786447:ERL786475 FAT786447:FBH786475 FKP786447:FLD786475 FUL786447:FUZ786475 GEH786447:GEV786475 GOD786447:GOR786475 GXZ786447:GYN786475 HHV786447:HIJ786475 HRR786447:HSF786475 IBN786447:ICB786475 ILJ786447:ILX786475 IVF786447:IVT786475 JFB786447:JFP786475 JOX786447:JPL786475 JYT786447:JZH786475 KIP786447:KJD786475 KSL786447:KSZ786475 LCH786447:LCV786475 LMD786447:LMR786475 LVZ786447:LWN786475 MFV786447:MGJ786475 MPR786447:MQF786475 MZN786447:NAB786475 NJJ786447:NJX786475 NTF786447:NTT786475 ODB786447:ODP786475 OMX786447:ONL786475 OWT786447:OXH786475 PGP786447:PHD786475 PQL786447:PQZ786475 QAH786447:QAV786475 QKD786447:QKR786475 QTZ786447:QUN786475 RDV786447:REJ786475 RNR786447:ROF786475 RXN786447:RYB786475 SHJ786447:SHX786475 SRF786447:SRT786475 TBB786447:TBP786475 TKX786447:TLL786475 TUT786447:TVH786475 UEP786447:UFD786475 UOL786447:UOZ786475 UYH786447:UYV786475 VID786447:VIR786475 VRZ786447:VSN786475 WBV786447:WCJ786475 WLR786447:WMF786475 WVN786447:WWB786475 F851983:T852011 JB851983:JP852011 SX851983:TL852011 ACT851983:ADH852011 AMP851983:AND852011 AWL851983:AWZ852011 BGH851983:BGV852011 BQD851983:BQR852011 BZZ851983:CAN852011 CJV851983:CKJ852011 CTR851983:CUF852011 DDN851983:DEB852011 DNJ851983:DNX852011 DXF851983:DXT852011 EHB851983:EHP852011 EQX851983:ERL852011 FAT851983:FBH852011 FKP851983:FLD852011 FUL851983:FUZ852011 GEH851983:GEV852011 GOD851983:GOR852011 GXZ851983:GYN852011 HHV851983:HIJ852011 HRR851983:HSF852011 IBN851983:ICB852011 ILJ851983:ILX852011 IVF851983:IVT852011 JFB851983:JFP852011 JOX851983:JPL852011 JYT851983:JZH852011 KIP851983:KJD852011 KSL851983:KSZ852011 LCH851983:LCV852011 LMD851983:LMR852011 LVZ851983:LWN852011 MFV851983:MGJ852011 MPR851983:MQF852011 MZN851983:NAB852011 NJJ851983:NJX852011 NTF851983:NTT852011 ODB851983:ODP852011 OMX851983:ONL852011 OWT851983:OXH852011 PGP851983:PHD852011 PQL851983:PQZ852011 QAH851983:QAV852011 QKD851983:QKR852011 QTZ851983:QUN852011 RDV851983:REJ852011 RNR851983:ROF852011 RXN851983:RYB852011 SHJ851983:SHX852011 SRF851983:SRT852011 TBB851983:TBP852011 TKX851983:TLL852011 TUT851983:TVH852011 UEP851983:UFD852011 UOL851983:UOZ852011 UYH851983:UYV852011 VID851983:VIR852011 VRZ851983:VSN852011 WBV851983:WCJ852011 WLR851983:WMF852011 WVN851983:WWB852011 F917519:T917547 JB917519:JP917547 SX917519:TL917547 ACT917519:ADH917547 AMP917519:AND917547 AWL917519:AWZ917547 BGH917519:BGV917547 BQD917519:BQR917547 BZZ917519:CAN917547 CJV917519:CKJ917547 CTR917519:CUF917547 DDN917519:DEB917547 DNJ917519:DNX917547 DXF917519:DXT917547 EHB917519:EHP917547 EQX917519:ERL917547 FAT917519:FBH917547 FKP917519:FLD917547 FUL917519:FUZ917547 GEH917519:GEV917547 GOD917519:GOR917547 GXZ917519:GYN917547 HHV917519:HIJ917547 HRR917519:HSF917547 IBN917519:ICB917547 ILJ917519:ILX917547 IVF917519:IVT917547 JFB917519:JFP917547 JOX917519:JPL917547 JYT917519:JZH917547 KIP917519:KJD917547 KSL917519:KSZ917547 LCH917519:LCV917547 LMD917519:LMR917547 LVZ917519:LWN917547 MFV917519:MGJ917547 MPR917519:MQF917547 MZN917519:NAB917547 NJJ917519:NJX917547 NTF917519:NTT917547 ODB917519:ODP917547 OMX917519:ONL917547 OWT917519:OXH917547 PGP917519:PHD917547 PQL917519:PQZ917547 QAH917519:QAV917547 QKD917519:QKR917547 QTZ917519:QUN917547 RDV917519:REJ917547 RNR917519:ROF917547 RXN917519:RYB917547 SHJ917519:SHX917547 SRF917519:SRT917547 TBB917519:TBP917547 TKX917519:TLL917547 TUT917519:TVH917547 UEP917519:UFD917547 UOL917519:UOZ917547 UYH917519:UYV917547 VID917519:VIR917547 VRZ917519:VSN917547 WBV917519:WCJ917547 WLR917519:WMF917547 WVN917519:WWB917547 F983055:T983083 JB983055:JP983083 SX983055:TL983083 ACT983055:ADH983083 AMP983055:AND983083 AWL983055:AWZ983083 BGH983055:BGV983083 BQD983055:BQR983083 BZZ983055:CAN983083 CJV983055:CKJ983083 CTR983055:CUF983083 DDN983055:DEB983083 DNJ983055:DNX983083 DXF983055:DXT983083 EHB983055:EHP983083 EQX983055:ERL983083 FAT983055:FBH983083 FKP983055:FLD983083 FUL983055:FUZ983083 GEH983055:GEV983083 GOD983055:GOR983083 GXZ983055:GYN983083 HHV983055:HIJ983083 HRR983055:HSF983083 IBN983055:ICB983083 ILJ983055:ILX983083 IVF983055:IVT983083 JFB983055:JFP983083 JOX983055:JPL983083 JYT983055:JZH983083 KIP983055:KJD983083 KSL983055:KSZ983083 LCH983055:LCV983083 LMD983055:LMR983083 LVZ983055:LWN983083 MFV983055:MGJ983083 MPR983055:MQF983083 MZN983055:NAB983083 NJJ983055:NJX983083 NTF983055:NTT983083 ODB983055:ODP983083 OMX983055:ONL983083 OWT983055:OXH983083 PGP983055:PHD983083 PQL983055:PQZ983083 QAH983055:QAV983083 QKD983055:QKR983083 QTZ983055:QUN983083 RDV983055:REJ983083 RNR983055:ROF983083 RXN983055:RYB983083 SHJ983055:SHX983083 SRF983055:SRT983083 TBB983055:TBP983083 TKX983055:TLL983083 TUT983055:TVH983083 UEP983055:UFD983083 UOL983055:UOZ983083 UYH983055:UYV983083 VID983055:VIR983083 VRZ983055:VSN983083 WBV983055:WCJ983083 WLR983055:WMF983083 H38 F39:T43 M14:T15 H36 JB9:JP43 SX9:TL43 ACT9:ADH43 AMP9:AND43 AWL9:AWZ43 BGH9:BGV43 BQD9:BQR43 BZZ9:CAN43 CJV9:CKJ43 CTR9:CUF43 DDN9:DEB43 DNJ9:DNX43 DXF9:DXT43 EHB9:EHP43 EQX9:ERL43 FAT9:FBH43 FKP9:FLD43 FUL9:FUZ43 GEH9:GEV43 GOD9:GOR43 GXZ9:GYN43 HHV9:HIJ43 HRR9:HSF43 IBN9:ICB43 ILJ9:ILX43 IVF9:IVT43 JFB9:JFP43 JOX9:JPL43 JYT9:JZH43 KIP9:KJD43 KSL9:KSZ43 LCH9:LCV43 LMD9:LMR43 LVZ9:LWN43 MFV9:MGJ43 MPR9:MQF43 MZN9:NAB43 NJJ9:NJX43 NTF9:NTT43 ODB9:ODP43 OMX9:ONL43 OWT9:OXH43 PGP9:PHD43 PQL9:PQZ43 QAH9:QAV43 QKD9:QKR43 QTZ9:QUN43 RDV9:REJ43 RNR9:ROF43 RXN9:RYB43 SHJ9:SHX43 SRF9:SRT43 TBB9:TBP43 TKX9:TLL43 TUT9:TVH43 UEP9:UFD43 UOL9:UOZ43 UYH9:UYV43 VID9:VIR43 VRZ9:VSN43 WBV9:WCJ43 WLR9:WMF43 WVN9:WWB43 F9:T13 I33:T38 F14:J15 K15:L15 F33:G38 F16:T32" xr:uid="{00000000-0002-0000-0100-000002000000}">
      <formula1>"O, 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tabSelected="1" workbookViewId="0">
      <selection activeCell="B24" sqref="B24"/>
    </sheetView>
  </sheetViews>
  <sheetFormatPr defaultColWidth="9" defaultRowHeight="10.5"/>
  <cols>
    <col min="1" max="1" width="8.7109375" style="82" customWidth="1"/>
    <col min="2" max="2" width="48.5703125" style="82" customWidth="1"/>
    <col min="3" max="3" width="24.85546875" style="82" bestFit="1" customWidth="1"/>
    <col min="4" max="5" width="37.42578125" style="82" customWidth="1"/>
    <col min="6" max="6" width="8.28515625" style="82" customWidth="1"/>
    <col min="7" max="7" width="13" style="82" customWidth="1"/>
    <col min="8" max="8" width="17.28515625" style="82" customWidth="1"/>
    <col min="9" max="16384" width="9" style="82"/>
  </cols>
  <sheetData>
    <row r="1" spans="1:8" ht="19.5">
      <c r="A1" s="160" t="s">
        <v>39</v>
      </c>
      <c r="B1" s="160"/>
      <c r="C1" s="160"/>
      <c r="D1" s="160"/>
      <c r="E1" s="160"/>
      <c r="F1" s="160"/>
      <c r="G1" s="160"/>
      <c r="H1" s="160"/>
    </row>
    <row r="2" spans="1:8" ht="12.75">
      <c r="A2" s="83"/>
      <c r="B2" s="83"/>
      <c r="C2" s="84"/>
      <c r="D2" s="85" t="str">
        <f>"Pass: "&amp;COUNTIF($F$6:$F$945,"Pass")</f>
        <v>Pass: 8</v>
      </c>
      <c r="E2" s="86" t="str">
        <f>"Untested: "&amp;COUNTIF($F$6:$F$945,"Untest")</f>
        <v>Untested: 0</v>
      </c>
      <c r="F2" s="83"/>
      <c r="G2" s="87"/>
      <c r="H2" s="87"/>
    </row>
    <row r="3" spans="1:8" ht="25.5">
      <c r="A3" s="88" t="s">
        <v>40</v>
      </c>
      <c r="B3" s="89" t="s">
        <v>41</v>
      </c>
      <c r="C3" s="90"/>
      <c r="D3" s="85" t="str">
        <f>"Fail: "&amp;COUNTIF($F$6:$F$945,"Fail")</f>
        <v>Fail: 0</v>
      </c>
      <c r="E3" s="86" t="str">
        <f>"N/A: "&amp;COUNTIF($F$6:$F$945,"N/A")</f>
        <v>N/A: 0</v>
      </c>
      <c r="F3" s="83"/>
      <c r="G3" s="87"/>
      <c r="H3" s="87"/>
    </row>
    <row r="4" spans="1:8" ht="12.75">
      <c r="A4" s="91" t="s">
        <v>42</v>
      </c>
      <c r="B4" s="89" t="s">
        <v>9</v>
      </c>
      <c r="C4" s="91"/>
      <c r="D4" s="92" t="str">
        <f>"Percent Complete: "&amp;ROUND((COUNTIF($F$7:$F$945,"Pass")*100)/((COUNTA($A$7:$A$945)*5)-COUNTIF($F$6:$F$955,"N/A")),2)&amp;"%"</f>
        <v>Percent Complete: 20%</v>
      </c>
      <c r="E4" s="93" t="str">
        <f>"Number of cases: "&amp;(COUNTA($A$6:$A$945))</f>
        <v>Number of cases: 8</v>
      </c>
      <c r="F4" s="83"/>
      <c r="G4" s="87"/>
      <c r="H4" s="87"/>
    </row>
    <row r="5" spans="1:8" ht="31.5">
      <c r="A5" s="94" t="s">
        <v>43</v>
      </c>
      <c r="B5" s="94" t="s">
        <v>44</v>
      </c>
      <c r="C5" s="94" t="s">
        <v>45</v>
      </c>
      <c r="D5" s="94" t="s">
        <v>46</v>
      </c>
      <c r="E5" s="94" t="s">
        <v>47</v>
      </c>
      <c r="F5" s="94" t="s">
        <v>32</v>
      </c>
      <c r="G5" s="94" t="s">
        <v>48</v>
      </c>
      <c r="H5" s="94" t="s">
        <v>49</v>
      </c>
    </row>
    <row r="6" spans="1:8" ht="63">
      <c r="A6" s="172" t="s">
        <v>50</v>
      </c>
      <c r="B6" s="170" t="s">
        <v>94</v>
      </c>
      <c r="C6" s="170" t="s">
        <v>109</v>
      </c>
      <c r="D6" s="171" t="s">
        <v>110</v>
      </c>
      <c r="E6" s="171" t="s">
        <v>111</v>
      </c>
      <c r="F6" s="170" t="s">
        <v>125</v>
      </c>
      <c r="G6" s="173"/>
      <c r="H6" s="171"/>
    </row>
    <row r="7" spans="1:8" ht="31.5">
      <c r="A7" s="172" t="s">
        <v>87</v>
      </c>
      <c r="B7" s="170" t="s">
        <v>95</v>
      </c>
      <c r="C7" s="171" t="s">
        <v>102</v>
      </c>
      <c r="D7" s="171" t="s">
        <v>112</v>
      </c>
      <c r="E7" s="171" t="s">
        <v>119</v>
      </c>
      <c r="F7" s="170" t="s">
        <v>125</v>
      </c>
      <c r="G7" s="174"/>
      <c r="H7" s="170"/>
    </row>
    <row r="8" spans="1:8" ht="63">
      <c r="A8" s="172" t="s">
        <v>88</v>
      </c>
      <c r="B8" s="170" t="s">
        <v>96</v>
      </c>
      <c r="C8" s="171" t="s">
        <v>103</v>
      </c>
      <c r="D8" s="171" t="s">
        <v>113</v>
      </c>
      <c r="E8" s="171" t="s">
        <v>120</v>
      </c>
      <c r="F8" s="170" t="s">
        <v>125</v>
      </c>
      <c r="G8" s="173"/>
      <c r="H8" s="170"/>
    </row>
    <row r="9" spans="1:8" ht="63">
      <c r="A9" s="172" t="s">
        <v>89</v>
      </c>
      <c r="B9" s="171" t="s">
        <v>97</v>
      </c>
      <c r="C9" s="175" t="s">
        <v>104</v>
      </c>
      <c r="D9" s="171" t="s">
        <v>114</v>
      </c>
      <c r="E9" s="171" t="s">
        <v>121</v>
      </c>
      <c r="F9" s="170" t="s">
        <v>125</v>
      </c>
      <c r="G9" s="176"/>
      <c r="H9" s="170"/>
    </row>
    <row r="10" spans="1:8" ht="63">
      <c r="A10" s="172" t="s">
        <v>90</v>
      </c>
      <c r="B10" s="171" t="s">
        <v>98</v>
      </c>
      <c r="C10" s="175" t="s">
        <v>105</v>
      </c>
      <c r="D10" s="171" t="s">
        <v>115</v>
      </c>
      <c r="E10" s="171" t="s">
        <v>122</v>
      </c>
      <c r="F10" s="170" t="s">
        <v>125</v>
      </c>
      <c r="G10" s="176"/>
      <c r="H10" s="170"/>
    </row>
    <row r="11" spans="1:8" ht="63">
      <c r="A11" s="172" t="s">
        <v>91</v>
      </c>
      <c r="B11" s="171" t="s">
        <v>99</v>
      </c>
      <c r="C11" s="175" t="s">
        <v>106</v>
      </c>
      <c r="D11" s="171" t="s">
        <v>116</v>
      </c>
      <c r="E11" s="171" t="s">
        <v>120</v>
      </c>
      <c r="F11" s="170" t="s">
        <v>125</v>
      </c>
      <c r="G11" s="176"/>
      <c r="H11" s="170"/>
    </row>
    <row r="12" spans="1:8" ht="63">
      <c r="A12" s="172" t="s">
        <v>92</v>
      </c>
      <c r="B12" s="171" t="s">
        <v>100</v>
      </c>
      <c r="C12" s="175" t="s">
        <v>107</v>
      </c>
      <c r="D12" s="171" t="s">
        <v>117</v>
      </c>
      <c r="E12" s="171" t="s">
        <v>123</v>
      </c>
      <c r="F12" s="170" t="s">
        <v>125</v>
      </c>
      <c r="G12" s="176"/>
      <c r="H12" s="170"/>
    </row>
    <row r="13" spans="1:8" ht="63">
      <c r="A13" s="172" t="s">
        <v>93</v>
      </c>
      <c r="B13" s="171" t="s">
        <v>101</v>
      </c>
      <c r="C13" s="175" t="s">
        <v>108</v>
      </c>
      <c r="D13" s="171" t="s">
        <v>118</v>
      </c>
      <c r="E13" s="171" t="s">
        <v>124</v>
      </c>
      <c r="F13" s="170" t="s">
        <v>125</v>
      </c>
      <c r="G13" s="176"/>
      <c r="H13" s="170"/>
    </row>
    <row r="15" spans="1:8">
      <c r="B15" s="7" t="s">
        <v>4</v>
      </c>
      <c r="C15" s="8" t="s">
        <v>5</v>
      </c>
    </row>
  </sheetData>
  <mergeCells count="1">
    <mergeCell ref="A1:H1"/>
  </mergeCells>
  <phoneticPr fontId="30" type="noConversion"/>
  <dataValidations count="1">
    <dataValidation type="list" operator="equal" allowBlank="1" sqref="F6:F13" xr:uid="{00000000-0002-0000-0200-000000000000}">
      <formula1>"Pass,Fail,Untest,N/A"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</vt:lpstr>
      <vt:lpstr>Q2</vt:lpstr>
      <vt:lpstr>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2025-11-05T07:55:10Z</dcterms:modified>
</cp:coreProperties>
</file>